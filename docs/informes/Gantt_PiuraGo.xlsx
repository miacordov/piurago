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PiuraG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<sst xmlns="http://schemas.openxmlformats.org/spreadsheetml/2006/main" count="305" uniqueCount="218">
  <si>
    <t xml:space="preserve">Diagrama de Gantt — Proyecto PiuraGo (18 semanas)</t>
  </si>
  <si>
    <t xml:space="preserve">Código EDT</t>
  </si>
  <si>
    <t xml:space="preserve">Actividad</t>
  </si>
  <si>
    <t xml:space="preserve">Fase</t>
  </si>
  <si>
    <t xml:space="preserve">Inicio (sem.)</t>
  </si>
  <si>
    <t xml:space="preserve">Fin (sem.)</t>
  </si>
  <si>
    <t xml:space="preserve">Duración (sem.)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</si>
  <si>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</si>
  <si>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</si>
  <si>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</si>
  <si>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</si>
  <si>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</si>
  <si>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</si>
  <si>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</si>
  <si>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</si>
  <si>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</si>
  <si>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</si>
  <si>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</si>
  <si>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</si>
  <si>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</si>
  <si>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</si>
  <si>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</si>
  <si>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</si>
  <si>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</si>
  <si>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</si>
  <si>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1.0</t>
  </si>
  <si>
    <t xml:space="preserve">Planificación y Análisis</t>
  </si>
  <si>
    <t xml:space="preserve">Unidad I</t>
  </si>
  <si>
    <t xml:space="preserve">1.1</t>
  </si>
  <si>
    <t xml:space="preserve">Lean Canvas</t>
  </si>
  <si>
    <t xml:space="preserve">1.1.1</t>
  </si>
  <si>
    <t xml:space="preserve">Investigación del problema real</t>
  </si>
  <si>
    <t xml:space="preserve">1.1.2</t>
  </si>
  <si>
    <t xml:space="preserve">Segmentos de clientes y propuesta de valor</t>
  </si>
  <si>
    <t xml:space="preserve">1.1.3</t>
  </si>
  <si>
    <t xml:space="preserve">Estructura de costos, ingresos y métricas clave</t>
  </si>
  <si>
    <t xml:space="preserve">1.1.4</t>
  </si>
  <si>
    <t xml:space="preserve">Consolidación del lienzo en Canva</t>
  </si>
  <si>
    <t xml:space="preserve">1.2</t>
  </si>
  <si>
    <t xml:space="preserve">Project Charter</t>
  </si>
  <si>
    <t xml:space="preserve">1.2.1</t>
  </si>
  <si>
    <t xml:space="preserve">Objetivo, justificación y stakeholders</t>
  </si>
  <si>
    <t xml:space="preserve">1.2.2</t>
  </si>
  <si>
    <t xml:space="preserve">Riesgos y restricciones</t>
  </si>
  <si>
    <t xml:space="preserve">1.3</t>
  </si>
  <si>
    <t xml:space="preserve">Cronograma (Diagrama de Gantt)</t>
  </si>
  <si>
    <t xml:space="preserve">1.3.1</t>
  </si>
  <si>
    <t xml:space="preserve">Elaboración del Gantt en 18 semanas</t>
  </si>
  <si>
    <t xml:space="preserve">1.4</t>
  </si>
  <si>
    <t xml:space="preserve">Work Breakdown Structure (WBS)</t>
  </si>
  <si>
    <t xml:space="preserve">1.4.1</t>
  </si>
  <si>
    <t xml:space="preserve">Elaboración del WBS jerárquico</t>
  </si>
  <si>
    <t xml:space="preserve">1.4.2</t>
  </si>
  <si>
    <t xml:space="preserve">Validación grupal del WBS</t>
  </si>
  <si>
    <t xml:space="preserve">1.5</t>
  </si>
  <si>
    <t xml:space="preserve">Toma de requerimientos</t>
  </si>
  <si>
    <t xml:space="preserve">1.5.1</t>
  </si>
  <si>
    <t xml:space="preserve">Requerimientos funcionales (RF-01 a RF-09)</t>
  </si>
  <si>
    <t xml:space="preserve">1.5.2</t>
  </si>
  <si>
    <t xml:space="preserve">Requerimientos no funcionales (RNF-01 a RNF-08)</t>
  </si>
  <si>
    <t xml:space="preserve">1.5.3</t>
  </si>
  <si>
    <t xml:space="preserve">Clasificación DINO / MoSCoW</t>
  </si>
  <si>
    <t xml:space="preserve">1.6</t>
  </si>
  <si>
    <t xml:space="preserve">Prototipos iniciales de interfaz (wireframes)</t>
  </si>
  <si>
    <t xml:space="preserve">1.6.1</t>
  </si>
  <si>
    <t xml:space="preserve">Wireframe de pantalla de rutas</t>
  </si>
  <si>
    <t xml:space="preserve">1.6.2</t>
  </si>
  <si>
    <t xml:space="preserve">Wireframe de mapa interactivo</t>
  </si>
  <si>
    <t xml:space="preserve">1.6.3</t>
  </si>
  <si>
    <t xml:space="preserve">Wireframe de dashboard de congestión</t>
  </si>
  <si>
    <t xml:space="preserve">1.7</t>
  </si>
  <si>
    <t xml:space="preserve">Entrega APF1 (20%)</t>
  </si>
  <si>
    <t xml:space="preserve">1.7.1</t>
  </si>
  <si>
    <t xml:space="preserve">Consolidación del documento</t>
  </si>
  <si>
    <t xml:space="preserve">1.7.2</t>
  </si>
  <si>
    <t xml:space="preserve">Revisión de forma (APA 7) y sustentación</t>
  </si>
  <si>
    <t xml:space="preserve">2.0</t>
  </si>
  <si>
    <t xml:space="preserve">Diseño y Arquitectura</t>
  </si>
  <si>
    <t xml:space="preserve">Unidad II</t>
  </si>
  <si>
    <t xml:space="preserve">2.1</t>
  </si>
  <si>
    <t xml:space="preserve">Diagrama BPM del flujo de datos</t>
  </si>
  <si>
    <t xml:space="preserve">2.1.1</t>
  </si>
  <si>
    <t xml:space="preserve">Mapeo del flujo GPS → ETA → consulta</t>
  </si>
  <si>
    <t xml:space="preserve">2.1.2</t>
  </si>
  <si>
    <t xml:space="preserve">Modelado del diagrama BPM </t>
  </si>
  <si>
    <t xml:space="preserve">2.2</t>
  </si>
  <si>
    <t xml:space="preserve">Diseño lógico de base de datos</t>
  </si>
  <si>
    <t xml:space="preserve">2.2.1</t>
  </si>
  <si>
    <t xml:space="preserve">Modelo entidad-relación</t>
  </si>
  <si>
    <t xml:space="preserve">2.2.2</t>
  </si>
  <si>
    <t xml:space="preserve">Normalización y cardinalidades</t>
  </si>
  <si>
    <t xml:space="preserve">2.3</t>
  </si>
  <si>
    <t xml:space="preserve">Diseño físico de base de datos (PostgreSQL en Neon)</t>
  </si>
  <si>
    <t xml:space="preserve">2.3.1</t>
  </si>
  <si>
    <t xml:space="preserve">Tipos de dato e índices</t>
  </si>
  <si>
    <t xml:space="preserve">2.3.2</t>
  </si>
  <si>
    <t xml:space="preserve">Script DDL inicial</t>
  </si>
  <si>
    <t xml:space="preserve">2.4</t>
  </si>
  <si>
    <t xml:space="preserve">Prototipos UX/UI</t>
  </si>
  <si>
    <t xml:space="preserve">2.4.1</t>
  </si>
  <si>
    <t xml:space="preserve">Prototipo del mapa interactivo (Figma)</t>
  </si>
  <si>
    <t xml:space="preserve">2.4.2</t>
  </si>
  <si>
    <t xml:space="preserve">Prototipo del dashboard de horas calientes</t>
  </si>
  <si>
    <t xml:space="preserve">2.4.3</t>
  </si>
  <si>
    <t xml:space="preserve">Documentación de decisiones de diseño</t>
  </si>
  <si>
    <t xml:space="preserve">2.5</t>
  </si>
  <si>
    <t xml:space="preserve">Documentación de arquitectura técnica</t>
  </si>
  <si>
    <t xml:space="preserve">2.5.1</t>
  </si>
  <si>
    <t xml:space="preserve">Cliente (Flutter + flutter_map + OpenStreetMap)</t>
  </si>
  <si>
    <t xml:space="preserve">2.5.2</t>
  </si>
  <si>
    <t xml:space="preserve">Backend en capas MVC + DAO (Spring Boot)</t>
  </si>
  <si>
    <t xml:space="preserve">2.5.3</t>
  </si>
  <si>
    <t xml:space="preserve">Seguridad (Spring Security + JWT)</t>
  </si>
  <si>
    <t xml:space="preserve">2.5.4</t>
  </si>
  <si>
    <t xml:space="preserve">Librerías complementarias (Guava, Commons, POI, Logback)</t>
  </si>
  <si>
    <t xml:space="preserve">2.6</t>
  </si>
  <si>
    <t xml:space="preserve">Entrega APF2 (20%)</t>
  </si>
  <si>
    <t xml:space="preserve">3.0</t>
  </si>
  <si>
    <t xml:space="preserve">Desarrollo y Construcción</t>
  </si>
  <si>
    <t xml:space="preserve">Unidad III</t>
  </si>
  <si>
    <t xml:space="preserve">3.1</t>
  </si>
  <si>
    <t xml:space="preserve">Arquitectura base del backend</t>
  </si>
  <si>
    <t xml:space="preserve">3.1.1</t>
  </si>
  <si>
    <t xml:space="preserve">Configuración de capas MVC + DAO (Maven)</t>
  </si>
  <si>
    <t xml:space="preserve">3.1.2</t>
  </si>
  <si>
    <t xml:space="preserve">Aplicación de principios SOLID</t>
  </si>
  <si>
    <t xml:space="preserve">3.2</t>
  </si>
  <si>
    <t xml:space="preserve">Configuración del cliente Flutter</t>
  </si>
  <si>
    <t xml:space="preserve">3.2.1</t>
  </si>
  <si>
    <t xml:space="preserve">Estructura de carpetas del proyecto</t>
  </si>
  <si>
    <t xml:space="preserve">3.3</t>
  </si>
  <si>
    <t xml:space="preserve">Módulo de rutas y paraderos</t>
  </si>
  <si>
    <t xml:space="preserve">3.3.1</t>
  </si>
  <si>
    <t xml:space="preserve">Endpoint y DAO de rutas/paraderos (CRUD)</t>
  </si>
  <si>
    <t xml:space="preserve">3.4</t>
  </si>
  <si>
    <t xml:space="preserve">Módulo de GPS colaborativo</t>
  </si>
  <si>
    <t xml:space="preserve">3.4.1</t>
  </si>
  <si>
    <t xml:space="preserve">Captura de GPS en el cliente móvil</t>
  </si>
  <si>
    <t xml:space="preserve">3.4.2</t>
  </si>
  <si>
    <t xml:space="preserve">Envío periódico al backend (polling)</t>
  </si>
  <si>
    <t xml:space="preserve">3.5</t>
  </si>
  <si>
    <t xml:space="preserve">Autenticación</t>
  </si>
  <si>
    <t xml:space="preserve">3.5.1</t>
  </si>
  <si>
    <t xml:space="preserve">Implementación de JWT (Spring Security)</t>
  </si>
  <si>
    <t xml:space="preserve">3.6</t>
  </si>
  <si>
    <t xml:space="preserve">Servicio de cálculo de ETA</t>
  </si>
  <si>
    <t xml:space="preserve">3.6.1</t>
  </si>
  <si>
    <t xml:space="preserve">Lógica de cálculo del ETA</t>
  </si>
  <si>
    <t xml:space="preserve">3.6.2</t>
  </si>
  <si>
    <t xml:space="preserve">Endpoint de exposición del ETA</t>
  </si>
  <si>
    <t xml:space="preserve">3.6.3</t>
  </si>
  <si>
    <t xml:space="preserve">Caché de ETA con Google Guava</t>
  </si>
  <si>
    <t xml:space="preserve">3.7</t>
  </si>
  <si>
    <t xml:space="preserve">Control de versiones e integración</t>
  </si>
  <si>
    <t xml:space="preserve">3.7.1</t>
  </si>
  <si>
    <t xml:space="preserve">Organización del repositorio Git/GitHub</t>
  </si>
  <si>
    <t xml:space="preserve">3.7.2</t>
  </si>
  <si>
    <t xml:space="preserve">Integración backend + frontend</t>
  </si>
  <si>
    <t xml:space="preserve">3.8</t>
  </si>
  <si>
    <t xml:space="preserve">Entrega APF3 (20%)</t>
  </si>
  <si>
    <t xml:space="preserve">4.0</t>
  </si>
  <si>
    <t xml:space="preserve">Pruebas, Despliegue y Mantenimiento</t>
  </si>
  <si>
    <t xml:space="preserve">Unidad IV</t>
  </si>
  <si>
    <t xml:space="preserve">4.1</t>
  </si>
  <si>
    <t xml:space="preserve">Pruebas unitarias e integración (TDD)</t>
  </si>
  <si>
    <t xml:space="preserve">4.1.1</t>
  </si>
  <si>
    <t xml:space="preserve">Pruebas unitarias (JUnit, Mockito)</t>
  </si>
  <si>
    <t xml:space="preserve">4.1.2</t>
  </si>
  <si>
    <t xml:space="preserve">Pruebas de integración de endpoints</t>
  </si>
  <si>
    <t xml:space="preserve">4.1.3</t>
  </si>
  <si>
    <t xml:space="preserve">Pruebas del mapa interactivo (polling)</t>
  </si>
  <si>
    <t xml:space="preserve">4.2</t>
  </si>
  <si>
    <t xml:space="preserve">Pruebas de seguridad</t>
  </si>
  <si>
    <t xml:space="preserve">4.2.1</t>
  </si>
  <si>
    <t xml:space="preserve">Hash de contraseñas y manejo de JWT</t>
  </si>
  <si>
    <t xml:space="preserve">4.2.2</t>
  </si>
  <si>
    <t xml:space="preserve">Exposición de datos de ubicación (RNF-08)</t>
  </si>
  <si>
    <t xml:space="preserve">4.2.3</t>
  </si>
  <si>
    <t xml:space="preserve">Análisis con OWASP Dependency-Check y ZAP</t>
  </si>
  <si>
    <t xml:space="preserve">4.3</t>
  </si>
  <si>
    <t xml:space="preserve">Despliegue</t>
  </si>
  <si>
    <t xml:space="preserve">4.3.1</t>
  </si>
  <si>
    <t xml:space="preserve">Despliegue del backend en Render</t>
  </si>
  <si>
    <t xml:space="preserve">4.3.2</t>
  </si>
  <si>
    <t xml:space="preserve">Configuración de base de datos en Neon</t>
  </si>
  <si>
    <t xml:space="preserve">4.3.3</t>
  </si>
  <si>
    <t xml:space="preserve">Publicación del build de la app (APK/web)</t>
  </si>
  <si>
    <t xml:space="preserve">4.3.4</t>
  </si>
  <si>
    <t xml:space="preserve">Documentación OpenAPI/Swagger</t>
  </si>
  <si>
    <t xml:space="preserve">4.4</t>
  </si>
  <si>
    <t xml:space="preserve">Plan de monitoreo</t>
  </si>
  <si>
    <t xml:space="preserve">4.4.1</t>
  </si>
  <si>
    <t xml:space="preserve">Métricas de monitoreo</t>
  </si>
  <si>
    <t xml:space="preserve">4.4.2</t>
  </si>
  <si>
    <t xml:space="preserve">Spring Boot Actuator + Logback</t>
  </si>
  <si>
    <t xml:space="preserve">4.4.3</t>
  </si>
  <si>
    <t xml:space="preserve">UptimeRobot (keep-alive del backend)</t>
  </si>
  <si>
    <t xml:space="preserve">4.5</t>
  </si>
  <si>
    <t xml:space="preserve">Plan de mantenimiento</t>
  </si>
  <si>
    <t xml:space="preserve">4.5.1</t>
  </si>
  <si>
    <t xml:space="preserve">Tareas programadas (@Scheduled) de purga de GPS</t>
  </si>
  <si>
    <t xml:space="preserve">4.5.2</t>
  </si>
  <si>
    <t xml:space="preserve">Respaldos automáticos (Neon)</t>
  </si>
  <si>
    <t xml:space="preserve">4.5.3</t>
  </si>
  <si>
    <t xml:space="preserve">Actualización de rutas/paraderos</t>
  </si>
  <si>
    <t xml:space="preserve">4.6</t>
  </si>
  <si>
    <t xml:space="preserve">Entrega del Proyecto Final (40%)</t>
  </si>
  <si>
    <t xml:space="preserve">4.6.1</t>
  </si>
  <si>
    <t xml:space="preserve">Consolidación del informe final</t>
  </si>
  <si>
    <t xml:space="preserve">4.6.2</t>
  </si>
  <si>
    <t xml:space="preserve">Ensayo y sustentación final</t>
  </si>
  <si>
    <t xml:space="preserve">Leyenda</t>
  </si>
  <si>
    <t xml:space="preserve">Unidad I — Planificación y Análisis (Semanas 1–4)</t>
  </si>
  <si>
    <t xml:space="preserve">Unidad II — Diseño y Arquitectura (Semanas 5–8)</t>
  </si>
  <si>
    <t xml:space="preserve">Unidad III — Desarrollo y Construcción (Semanas 9–12)</t>
  </si>
  <si>
    <t xml:space="preserve">Unidad IV — Pruebas, Despliegue y Mantenimiento (Semanas 13–18)</t>
  </si>
  <si>
    <t xml:space="preserve">Hitos de entrega formal (APF1, APF2, APF3, Proyecto Final)</t>
  </si>
  <si>
    <t xml:space="preserve">Nota: las filas en mayúscula/negrita con banda sólida representan cada Unidad (fase). Las filas intermedias en negrita son los paquetes de trabajo del WBS (Tabla 1) y las filas simples son las actividades concretas y verificables en las que se desglosa cada paquete.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</si>
</sst>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1"/>
      <name val="Arial"/>
      <family val="2"/>
      <charset val="1"/>
    </font>
    <font>
      <i val="true"/>
      <sz val="9"/>
      <color rgb="FF595959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2" tint="-0.5"/>
        <bgColor rgb="FF808000"/>
      </patternFill>
    </fill>
    <fill>
      <patternFill patternType="solid">
        <fgColor rgb="FF20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85A3D8"/>
        <bgColor rgb="FF99CCFF"/>
      </patternFill>
    </fill>
    <fill>
      <patternFill patternType="solid">
        <fgColor rgb="FFBDCDEA"/>
        <bgColor rgb="FFD9D9D9"/>
      </patternFill>
    </fill>
    <fill>
      <patternFill patternType="solid">
        <fgColor rgb="FF70AD47"/>
        <bgColor rgb="FF948A54"/>
      </patternFill>
    </fill>
    <fill>
      <patternFill patternType="solid">
        <fgColor rgb="FFED7D31"/>
        <bgColor rgb="FFFF9900"/>
      </patternFill>
    </fill>
    <fill>
      <patternFill patternType="solid">
        <fgColor rgb="FFF3AA79"/>
        <bgColor rgb="FFE8A5A5"/>
      </patternFill>
    </fill>
    <fill>
      <patternFill patternType="solid">
        <fgColor rgb="FFF8D1B6"/>
        <bgColor rgb="FFD9D9D9"/>
      </patternFill>
    </fill>
    <fill>
      <patternFill patternType="solid">
        <fgColor rgb="FF7030A0"/>
        <bgColor rgb="FF333399"/>
      </patternFill>
    </fill>
    <fill>
      <patternFill patternType="solid">
        <fgColor rgb="FFA278C1"/>
        <bgColor rgb="FF85A3D8"/>
      </patternFill>
    </fill>
    <fill>
      <patternFill patternType="solid">
        <fgColor rgb="FFCCB6DD"/>
        <bgColor rgb="FFBDCDEA"/>
      </patternFill>
    </fill>
    <fill>
      <patternFill patternType="solid">
        <fgColor rgb="FFC00000"/>
        <bgColor rgb="FF800000"/>
      </patternFill>
    </fill>
    <fill>
      <patternFill patternType="solid">
        <fgColor rgb="FFD65959"/>
        <bgColor rgb="FFED7D31"/>
      </patternFill>
    </fill>
    <fill>
      <patternFill patternType="solid">
        <fgColor rgb="FFE8A5A5"/>
        <bgColor rgb="FFF3AA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B6DD"/>
      <rgbColor rgb="FF948A54"/>
      <rgbColor rgb="FF85A3D8"/>
      <rgbColor rgb="FF7030A0"/>
      <rgbColor rgb="FFFFFFCC"/>
      <rgbColor rgb="FFCCFFFF"/>
      <rgbColor rgb="FF660066"/>
      <rgbColor rgb="FFF3AA79"/>
      <rgbColor rgb="FF0066CC"/>
      <rgbColor rgb="FFBDCD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E8A5A5"/>
      <rgbColor rgb="FFCC99FF"/>
      <rgbColor rgb="FFF8D1B6"/>
      <rgbColor rgb="FF4472C4"/>
      <rgbColor rgb="FF33CCCC"/>
      <rgbColor rgb="FF99CC00"/>
      <rgbColor rgb="FFFFCC00"/>
      <rgbColor rgb="FFFF9900"/>
      <rgbColor rgb="FFED7D31"/>
      <rgbColor rgb="FF595959"/>
      <rgbColor rgb="FFA278C1"/>
      <rgbColor rgb="FF203864"/>
      <rgbColor rgb="FF70AD47"/>
      <rgbColor rgb="FF003300"/>
      <rgbColor rgb="FF333300"/>
      <rgbColor rgb="FF993300"/>
      <rgbColor rgb="FFD6595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"/>
  <sheetViews>
    <sheetView showFormulas="false" showGridLines="false" showRowColHeaders="true" showZeros="true" rightToLeft="false" tabSelected="true" showOutlineSymbols="true" defaultGridColor="true" view="normal" topLeftCell="A1" colorId="64" zoomScale="73" zoomScaleNormal="73" zoomScalePageLayoutView="100" workbookViewId="0">
      <pane xSplit="6" ySplit="3" topLeftCell="M25" activePane="bottomRight" state="frozen"/>
      <selection pane="topLeft" activeCell="A1" activeCellId="0" sqref="A1"/>
      <selection pane="topRight" activeCell="M1" activeCellId="0" sqref="M1"/>
      <selection pane="bottomLeft" activeCell="A25" activeCellId="0" sqref="A25"/>
      <selection pane="bottomRight" activeCell="P26" activeCellId="0" sqref="P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2.09"/>
    <col collapsed="false" customWidth="true" hidden="false" outlineLevel="0" max="7" min="7" style="1" width="9.71"/>
    <col collapsed="false" customWidth="true" hidden="false" outlineLevel="0" max="8" min="8" style="1" width="10.29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5.15"/>
    <col collapsed="false" customWidth="true" hidden="false" outlineLevel="0" max="12" min="12" style="1" width="9.71"/>
    <col collapsed="false" customWidth="true" hidden="false" outlineLevel="0" max="13" min="13" style="1" width="10.29"/>
    <col collapsed="false" customWidth="true" hidden="false" outlineLevel="0" max="14" min="14" style="1" width="14.57"/>
    <col collapsed="false" customWidth="true" hidden="false" outlineLevel="0" max="15" min="15" style="1" width="14"/>
    <col collapsed="false" customWidth="true" hidden="false" outlineLevel="0" max="16" min="16" style="1" width="13.43"/>
    <col collapsed="false" customWidth="true" hidden="false" outlineLevel="0" max="17" min="17" style="1" width="8.14"/>
    <col collapsed="false" customWidth="true" hidden="false" outlineLevel="0" max="18" min="18" style="1" width="12.29"/>
    <col collapsed="false" customWidth="true" hidden="false" outlineLevel="0" max="19" min="19" style="1" width="10.29"/>
    <col collapsed="false" customWidth="true" hidden="false" outlineLevel="0" max="20" min="20" style="1" width="10.43"/>
    <col collapsed="false" customWidth="true" hidden="false" outlineLevel="0" max="21" min="21" style="1" width="9.71"/>
    <col collapsed="false" customWidth="true" hidden="false" outlineLevel="0" max="22" min="22" style="1" width="10.43"/>
    <col collapsed="false" customWidth="true" hidden="false" outlineLevel="0" max="23" min="23" style="1" width="10.14"/>
    <col collapsed="false" customWidth="true" hidden="false" outlineLevel="0" max="24" min="24" style="1" width="11.86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36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customFormat="false" ht="15" hidden="false" customHeight="true" outlineLevel="0" collapsed="false">
      <c r="A4" s="6" t="s">
        <v>25</v>
      </c>
      <c r="B4" s="7" t="s">
        <v>26</v>
      </c>
      <c r="C4" s="8" t="s">
        <v>27</v>
      </c>
      <c r="D4" s="8" t="n">
        <v>1</v>
      </c>
      <c r="E4" s="8" t="n">
        <v>4</v>
      </c>
      <c r="F4" s="8" t="n">
        <f aca="false">E4-D4+1</f>
        <v>4</v>
      </c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customFormat="false" ht="15" hidden="false" customHeight="true" outlineLevel="0" collapsed="false">
      <c r="A5" s="11" t="s">
        <v>28</v>
      </c>
      <c r="B5" s="12" t="s">
        <v>29</v>
      </c>
      <c r="C5" s="8" t="s">
        <v>27</v>
      </c>
      <c r="D5" s="8" t="n">
        <v>1</v>
      </c>
      <c r="E5" s="8" t="n">
        <v>2</v>
      </c>
      <c r="F5" s="8" t="n">
        <f aca="false">E5-D5+1</f>
        <v>2</v>
      </c>
      <c r="G5" s="13"/>
      <c r="H5" s="13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customFormat="false" ht="15" hidden="false" customHeight="true" outlineLevel="0" collapsed="false">
      <c r="A6" s="14" t="s">
        <v>30</v>
      </c>
      <c r="B6" s="15" t="s">
        <v>31</v>
      </c>
      <c r="C6" s="8" t="s">
        <v>27</v>
      </c>
      <c r="D6" s="8" t="n">
        <v>1</v>
      </c>
      <c r="E6" s="8" t="n">
        <v>1</v>
      </c>
      <c r="F6" s="8" t="n">
        <f aca="false">E6-D6+1</f>
        <v>1</v>
      </c>
      <c r="G6" s="16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customFormat="false" ht="15" hidden="false" customHeight="true" outlineLevel="0" collapsed="false">
      <c r="A7" s="14" t="s">
        <v>32</v>
      </c>
      <c r="B7" s="15" t="s">
        <v>33</v>
      </c>
      <c r="C7" s="8" t="s">
        <v>27</v>
      </c>
      <c r="D7" s="8" t="n">
        <v>1</v>
      </c>
      <c r="E7" s="8" t="n">
        <v>1</v>
      </c>
      <c r="F7" s="8" t="n">
        <f aca="false">E7-D7+1</f>
        <v>1</v>
      </c>
      <c r="G7" s="1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customFormat="false" ht="15" hidden="false" customHeight="true" outlineLevel="0" collapsed="false">
      <c r="A8" s="14" t="s">
        <v>34</v>
      </c>
      <c r="B8" s="15" t="s">
        <v>35</v>
      </c>
      <c r="C8" s="8" t="s">
        <v>27</v>
      </c>
      <c r="D8" s="8" t="n">
        <v>1</v>
      </c>
      <c r="E8" s="8" t="n">
        <v>2</v>
      </c>
      <c r="F8" s="8" t="n">
        <f aca="false">E8-D8+1</f>
        <v>2</v>
      </c>
      <c r="G8" s="16"/>
      <c r="H8" s="1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customFormat="false" ht="15" hidden="false" customHeight="true" outlineLevel="0" collapsed="false">
      <c r="A9" s="14" t="s">
        <v>36</v>
      </c>
      <c r="B9" s="15" t="s">
        <v>37</v>
      </c>
      <c r="C9" s="8" t="s">
        <v>27</v>
      </c>
      <c r="D9" s="8" t="n">
        <v>2</v>
      </c>
      <c r="E9" s="8" t="n">
        <v>2</v>
      </c>
      <c r="F9" s="8" t="n">
        <f aca="false">E9-D9+1</f>
        <v>1</v>
      </c>
      <c r="G9" s="10"/>
      <c r="H9" s="1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customFormat="false" ht="15" hidden="false" customHeight="true" outlineLevel="0" collapsed="false">
      <c r="A10" s="11" t="s">
        <v>38</v>
      </c>
      <c r="B10" s="12" t="s">
        <v>39</v>
      </c>
      <c r="C10" s="8" t="s">
        <v>27</v>
      </c>
      <c r="D10" s="8" t="n">
        <v>1</v>
      </c>
      <c r="E10" s="8" t="n">
        <v>2</v>
      </c>
      <c r="F10" s="8" t="n">
        <f aca="false">E10-D10+1</f>
        <v>2</v>
      </c>
      <c r="G10" s="13"/>
      <c r="H10" s="13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customFormat="false" ht="15" hidden="false" customHeight="true" outlineLevel="0" collapsed="false">
      <c r="A11" s="14" t="s">
        <v>40</v>
      </c>
      <c r="B11" s="15" t="s">
        <v>41</v>
      </c>
      <c r="C11" s="8" t="s">
        <v>27</v>
      </c>
      <c r="D11" s="8" t="n">
        <v>1</v>
      </c>
      <c r="E11" s="8" t="n">
        <v>1</v>
      </c>
      <c r="F11" s="8" t="n">
        <f aca="false">E11-D11+1</f>
        <v>1</v>
      </c>
      <c r="G11" s="16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customFormat="false" ht="15" hidden="false" customHeight="true" outlineLevel="0" collapsed="false">
      <c r="A12" s="14" t="s">
        <v>42</v>
      </c>
      <c r="B12" s="15" t="s">
        <v>43</v>
      </c>
      <c r="C12" s="8" t="s">
        <v>27</v>
      </c>
      <c r="D12" s="8" t="n">
        <v>2</v>
      </c>
      <c r="E12" s="8" t="n">
        <v>2</v>
      </c>
      <c r="F12" s="8" t="n">
        <f aca="false">E12-D12+1</f>
        <v>1</v>
      </c>
      <c r="G12" s="10"/>
      <c r="H12" s="1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customFormat="false" ht="15" hidden="false" customHeight="true" outlineLevel="0" collapsed="false">
      <c r="A13" s="11" t="s">
        <v>44</v>
      </c>
      <c r="B13" s="12" t="s">
        <v>45</v>
      </c>
      <c r="C13" s="8" t="s">
        <v>27</v>
      </c>
      <c r="D13" s="8" t="n">
        <v>2</v>
      </c>
      <c r="E13" s="8" t="n">
        <v>2</v>
      </c>
      <c r="F13" s="8" t="n">
        <f aca="false">E13-D13+1</f>
        <v>1</v>
      </c>
      <c r="G13" s="10"/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customFormat="false" ht="15" hidden="false" customHeight="true" outlineLevel="0" collapsed="false">
      <c r="A14" s="14" t="s">
        <v>46</v>
      </c>
      <c r="B14" s="15" t="s">
        <v>47</v>
      </c>
      <c r="C14" s="8" t="s">
        <v>27</v>
      </c>
      <c r="D14" s="8" t="n">
        <v>2</v>
      </c>
      <c r="E14" s="8" t="n">
        <v>2</v>
      </c>
      <c r="F14" s="8" t="n">
        <f aca="false">E14-D14+1</f>
        <v>1</v>
      </c>
      <c r="G14" s="10"/>
      <c r="H14" s="1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customFormat="false" ht="15" hidden="false" customHeight="true" outlineLevel="0" collapsed="false">
      <c r="A15" s="11" t="s">
        <v>48</v>
      </c>
      <c r="B15" s="12" t="s">
        <v>49</v>
      </c>
      <c r="C15" s="8" t="s">
        <v>27</v>
      </c>
      <c r="D15" s="8" t="n">
        <v>2</v>
      </c>
      <c r="E15" s="8" t="n">
        <v>3</v>
      </c>
      <c r="F15" s="8" t="n">
        <f aca="false">E15-D15+1</f>
        <v>2</v>
      </c>
      <c r="G15" s="10"/>
      <c r="H15" s="13"/>
      <c r="I15" s="1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customFormat="false" ht="15" hidden="false" customHeight="true" outlineLevel="0" collapsed="false">
      <c r="A16" s="14" t="s">
        <v>50</v>
      </c>
      <c r="B16" s="15" t="s">
        <v>51</v>
      </c>
      <c r="C16" s="8" t="s">
        <v>27</v>
      </c>
      <c r="D16" s="8" t="n">
        <v>2</v>
      </c>
      <c r="E16" s="8" t="n">
        <v>2</v>
      </c>
      <c r="F16" s="8" t="n">
        <f aca="false">E16-D16+1</f>
        <v>1</v>
      </c>
      <c r="G16" s="10"/>
      <c r="H16" s="1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customFormat="false" ht="15" hidden="false" customHeight="true" outlineLevel="0" collapsed="false">
      <c r="A17" s="14" t="s">
        <v>52</v>
      </c>
      <c r="B17" s="15" t="s">
        <v>53</v>
      </c>
      <c r="C17" s="8" t="s">
        <v>27</v>
      </c>
      <c r="D17" s="8" t="n">
        <v>3</v>
      </c>
      <c r="E17" s="8" t="n">
        <v>3</v>
      </c>
      <c r="F17" s="8" t="n">
        <f aca="false">E17-D17+1</f>
        <v>1</v>
      </c>
      <c r="G17" s="10"/>
      <c r="H17" s="10"/>
      <c r="I17" s="1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customFormat="false" ht="15" hidden="false" customHeight="true" outlineLevel="0" collapsed="false">
      <c r="A18" s="11" t="s">
        <v>54</v>
      </c>
      <c r="B18" s="12" t="s">
        <v>55</v>
      </c>
      <c r="C18" s="8" t="s">
        <v>27</v>
      </c>
      <c r="D18" s="8" t="n">
        <v>3</v>
      </c>
      <c r="E18" s="8" t="n">
        <v>3</v>
      </c>
      <c r="F18" s="8" t="n">
        <f aca="false">E18-D18+1</f>
        <v>1</v>
      </c>
      <c r="G18" s="10"/>
      <c r="H18" s="10"/>
      <c r="I18" s="1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customFormat="false" ht="15" hidden="false" customHeight="true" outlineLevel="0" collapsed="false">
      <c r="A19" s="14" t="s">
        <v>56</v>
      </c>
      <c r="B19" s="15" t="s">
        <v>57</v>
      </c>
      <c r="C19" s="8" t="s">
        <v>27</v>
      </c>
      <c r="D19" s="8" t="n">
        <v>3</v>
      </c>
      <c r="E19" s="8" t="n">
        <v>3</v>
      </c>
      <c r="F19" s="8" t="n">
        <f aca="false">E19-D19+1</f>
        <v>1</v>
      </c>
      <c r="G19" s="10"/>
      <c r="H19" s="10"/>
      <c r="I19" s="1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customFormat="false" ht="15" hidden="false" customHeight="true" outlineLevel="0" collapsed="false">
      <c r="A20" s="14" t="s">
        <v>58</v>
      </c>
      <c r="B20" s="15" t="s">
        <v>59</v>
      </c>
      <c r="C20" s="8" t="s">
        <v>27</v>
      </c>
      <c r="D20" s="8" t="n">
        <v>3</v>
      </c>
      <c r="E20" s="8" t="n">
        <v>3</v>
      </c>
      <c r="F20" s="8" t="n">
        <f aca="false">E20-D20+1</f>
        <v>1</v>
      </c>
      <c r="G20" s="10"/>
      <c r="H20" s="10"/>
      <c r="I20" s="1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customFormat="false" ht="15" hidden="false" customHeight="true" outlineLevel="0" collapsed="false">
      <c r="A21" s="14" t="s">
        <v>60</v>
      </c>
      <c r="B21" s="15" t="s">
        <v>61</v>
      </c>
      <c r="C21" s="8" t="s">
        <v>27</v>
      </c>
      <c r="D21" s="8" t="n">
        <v>3</v>
      </c>
      <c r="E21" s="8" t="n">
        <v>3</v>
      </c>
      <c r="F21" s="8" t="n">
        <f aca="false">E21-D21+1</f>
        <v>1</v>
      </c>
      <c r="G21" s="10"/>
      <c r="H21" s="10"/>
      <c r="I21" s="1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customFormat="false" ht="15" hidden="false" customHeight="true" outlineLevel="0" collapsed="false">
      <c r="A22" s="11" t="s">
        <v>62</v>
      </c>
      <c r="B22" s="12" t="s">
        <v>63</v>
      </c>
      <c r="C22" s="8" t="s">
        <v>27</v>
      </c>
      <c r="D22" s="8" t="n">
        <v>3</v>
      </c>
      <c r="E22" s="8" t="n">
        <v>4</v>
      </c>
      <c r="F22" s="8" t="n">
        <f aca="false">E22-D22+1</f>
        <v>2</v>
      </c>
      <c r="G22" s="10"/>
      <c r="H22" s="10"/>
      <c r="I22" s="13"/>
      <c r="J22" s="1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customFormat="false" ht="15" hidden="false" customHeight="true" outlineLevel="0" collapsed="false">
      <c r="A23" s="14" t="s">
        <v>64</v>
      </c>
      <c r="B23" s="15" t="s">
        <v>65</v>
      </c>
      <c r="C23" s="8" t="s">
        <v>27</v>
      </c>
      <c r="D23" s="8" t="n">
        <v>3</v>
      </c>
      <c r="E23" s="8" t="n">
        <v>3</v>
      </c>
      <c r="F23" s="8" t="n">
        <f aca="false">E23-D23+1</f>
        <v>1</v>
      </c>
      <c r="G23" s="10"/>
      <c r="H23" s="10"/>
      <c r="I23" s="1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customFormat="false" ht="15" hidden="false" customHeight="true" outlineLevel="0" collapsed="false">
      <c r="A24" s="14" t="s">
        <v>66</v>
      </c>
      <c r="B24" s="15" t="s">
        <v>67</v>
      </c>
      <c r="C24" s="8" t="s">
        <v>27</v>
      </c>
      <c r="D24" s="8" t="n">
        <v>4</v>
      </c>
      <c r="E24" s="8" t="n">
        <v>4</v>
      </c>
      <c r="F24" s="8" t="n">
        <f aca="false">E24-D24+1</f>
        <v>1</v>
      </c>
      <c r="G24" s="10"/>
      <c r="H24" s="10"/>
      <c r="I24" s="10"/>
      <c r="J24" s="1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customFormat="false" ht="15" hidden="false" customHeight="true" outlineLevel="0" collapsed="false">
      <c r="A25" s="14" t="s">
        <v>68</v>
      </c>
      <c r="B25" s="15" t="s">
        <v>69</v>
      </c>
      <c r="C25" s="8" t="s">
        <v>27</v>
      </c>
      <c r="D25" s="8" t="n">
        <v>4</v>
      </c>
      <c r="E25" s="8" t="n">
        <v>4</v>
      </c>
      <c r="F25" s="8" t="n">
        <f aca="false">E25-D25+1</f>
        <v>1</v>
      </c>
      <c r="G25" s="10"/>
      <c r="H25" s="10"/>
      <c r="I25" s="10"/>
      <c r="J25" s="1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customFormat="false" ht="15" hidden="false" customHeight="true" outlineLevel="0" collapsed="false">
      <c r="A26" s="11" t="s">
        <v>70</v>
      </c>
      <c r="B26" s="12" t="s">
        <v>71</v>
      </c>
      <c r="C26" s="8" t="s">
        <v>27</v>
      </c>
      <c r="D26" s="8" t="n">
        <v>4</v>
      </c>
      <c r="E26" s="8" t="n">
        <v>4</v>
      </c>
      <c r="F26" s="8" t="n">
        <f aca="false">E26-D26+1</f>
        <v>1</v>
      </c>
      <c r="G26" s="10"/>
      <c r="H26" s="10"/>
      <c r="I26" s="10"/>
      <c r="J26" s="1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customFormat="false" ht="15" hidden="false" customHeight="true" outlineLevel="0" collapsed="false">
      <c r="A27" s="14" t="s">
        <v>72</v>
      </c>
      <c r="B27" s="15" t="s">
        <v>73</v>
      </c>
      <c r="C27" s="8" t="s">
        <v>27</v>
      </c>
      <c r="D27" s="8" t="n">
        <v>4</v>
      </c>
      <c r="E27" s="8" t="n">
        <v>4</v>
      </c>
      <c r="F27" s="8" t="n">
        <f aca="false">E27-D27+1</f>
        <v>1</v>
      </c>
      <c r="G27" s="10"/>
      <c r="H27" s="10"/>
      <c r="I27" s="10"/>
      <c r="J27" s="1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customFormat="false" ht="15" hidden="false" customHeight="true" outlineLevel="0" collapsed="false">
      <c r="A28" s="11" t="s">
        <v>74</v>
      </c>
      <c r="B28" s="18" t="s">
        <v>75</v>
      </c>
      <c r="C28" s="8" t="s">
        <v>27</v>
      </c>
      <c r="D28" s="8" t="n">
        <v>4</v>
      </c>
      <c r="E28" s="8" t="n">
        <v>4</v>
      </c>
      <c r="F28" s="8" t="n">
        <f aca="false">E28-D28+1</f>
        <v>1</v>
      </c>
      <c r="G28" s="10"/>
      <c r="H28" s="10"/>
      <c r="I28" s="10"/>
      <c r="J28" s="1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customFormat="false" ht="15" hidden="false" customHeight="true" outlineLevel="0" collapsed="false">
      <c r="A29" s="6" t="s">
        <v>76</v>
      </c>
      <c r="B29" s="7" t="s">
        <v>77</v>
      </c>
      <c r="C29" s="8" t="s">
        <v>78</v>
      </c>
      <c r="D29" s="8" t="n">
        <v>5</v>
      </c>
      <c r="E29" s="8" t="n">
        <v>8</v>
      </c>
      <c r="F29" s="8" t="n">
        <f aca="false">E29-D29+1</f>
        <v>4</v>
      </c>
      <c r="G29" s="10"/>
      <c r="H29" s="10"/>
      <c r="I29" s="10"/>
      <c r="J29" s="10"/>
      <c r="K29" s="19"/>
      <c r="L29" s="19"/>
      <c r="M29" s="19"/>
      <c r="N29" s="19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customFormat="false" ht="15" hidden="false" customHeight="true" outlineLevel="0" collapsed="false">
      <c r="A30" s="11" t="s">
        <v>79</v>
      </c>
      <c r="B30" s="12" t="s">
        <v>80</v>
      </c>
      <c r="C30" s="8" t="s">
        <v>78</v>
      </c>
      <c r="D30" s="8" t="n">
        <v>5</v>
      </c>
      <c r="E30" s="8" t="n">
        <v>5</v>
      </c>
      <c r="F30" s="8" t="n">
        <f aca="false">E30-D30+1</f>
        <v>1</v>
      </c>
      <c r="G30" s="10"/>
      <c r="H30" s="10"/>
      <c r="I30" s="10"/>
      <c r="J30" s="10"/>
      <c r="K30" s="2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customFormat="false" ht="15" hidden="false" customHeight="true" outlineLevel="0" collapsed="false">
      <c r="A31" s="14" t="s">
        <v>81</v>
      </c>
      <c r="B31" s="15" t="s">
        <v>82</v>
      </c>
      <c r="C31" s="8" t="s">
        <v>78</v>
      </c>
      <c r="D31" s="8" t="n">
        <v>5</v>
      </c>
      <c r="E31" s="8" t="n">
        <v>5</v>
      </c>
      <c r="F31" s="8" t="n">
        <f aca="false">E31-D31+1</f>
        <v>1</v>
      </c>
      <c r="G31" s="10"/>
      <c r="H31" s="10"/>
      <c r="I31" s="10"/>
      <c r="J31" s="10"/>
      <c r="K31" s="21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customFormat="false" ht="15" hidden="false" customHeight="true" outlineLevel="0" collapsed="false">
      <c r="A32" s="14" t="s">
        <v>83</v>
      </c>
      <c r="B32" s="15" t="s">
        <v>84</v>
      </c>
      <c r="C32" s="8" t="s">
        <v>78</v>
      </c>
      <c r="D32" s="8" t="n">
        <v>5</v>
      </c>
      <c r="E32" s="8" t="n">
        <v>5</v>
      </c>
      <c r="F32" s="8" t="n">
        <f aca="false">E32-D32+1</f>
        <v>1</v>
      </c>
      <c r="G32" s="10"/>
      <c r="H32" s="10"/>
      <c r="I32" s="10"/>
      <c r="J32" s="10"/>
      <c r="K32" s="21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customFormat="false" ht="15" hidden="false" customHeight="true" outlineLevel="0" collapsed="false">
      <c r="A33" s="11" t="s">
        <v>85</v>
      </c>
      <c r="B33" s="12" t="s">
        <v>86</v>
      </c>
      <c r="C33" s="8" t="s">
        <v>78</v>
      </c>
      <c r="D33" s="8" t="n">
        <v>5</v>
      </c>
      <c r="E33" s="8" t="n">
        <v>6</v>
      </c>
      <c r="F33" s="8" t="n">
        <f aca="false">E33-D33+1</f>
        <v>2</v>
      </c>
      <c r="G33" s="10"/>
      <c r="H33" s="10"/>
      <c r="I33" s="10"/>
      <c r="J33" s="10"/>
      <c r="K33" s="20"/>
      <c r="L33" s="2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customFormat="false" ht="15" hidden="false" customHeight="true" outlineLevel="0" collapsed="false">
      <c r="A34" s="14" t="s">
        <v>87</v>
      </c>
      <c r="B34" s="15" t="s">
        <v>88</v>
      </c>
      <c r="C34" s="8" t="s">
        <v>78</v>
      </c>
      <c r="D34" s="8" t="n">
        <v>5</v>
      </c>
      <c r="E34" s="8" t="n">
        <v>5</v>
      </c>
      <c r="F34" s="8" t="n">
        <f aca="false">E34-D34+1</f>
        <v>1</v>
      </c>
      <c r="G34" s="10"/>
      <c r="H34" s="10"/>
      <c r="I34" s="10"/>
      <c r="J34" s="10"/>
      <c r="K34" s="21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customFormat="false" ht="15" hidden="false" customHeight="true" outlineLevel="0" collapsed="false">
      <c r="A35" s="14" t="s">
        <v>89</v>
      </c>
      <c r="B35" s="15" t="s">
        <v>90</v>
      </c>
      <c r="C35" s="8" t="s">
        <v>78</v>
      </c>
      <c r="D35" s="8" t="n">
        <v>6</v>
      </c>
      <c r="E35" s="8" t="n">
        <v>6</v>
      </c>
      <c r="F35" s="8" t="n">
        <f aca="false">E35-D35+1</f>
        <v>1</v>
      </c>
      <c r="G35" s="10"/>
      <c r="H35" s="10"/>
      <c r="I35" s="10"/>
      <c r="J35" s="10"/>
      <c r="K35" s="10"/>
      <c r="L35" s="21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customFormat="false" ht="15" hidden="false" customHeight="true" outlineLevel="0" collapsed="false">
      <c r="A36" s="11" t="s">
        <v>91</v>
      </c>
      <c r="B36" s="12" t="s">
        <v>92</v>
      </c>
      <c r="C36" s="8" t="s">
        <v>78</v>
      </c>
      <c r="D36" s="8" t="n">
        <v>6</v>
      </c>
      <c r="E36" s="8" t="n">
        <v>6</v>
      </c>
      <c r="F36" s="8" t="n">
        <f aca="false">E36-D36+1</f>
        <v>1</v>
      </c>
      <c r="G36" s="10"/>
      <c r="H36" s="10"/>
      <c r="I36" s="10"/>
      <c r="J36" s="10"/>
      <c r="K36" s="10"/>
      <c r="L36" s="2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customFormat="false" ht="15" hidden="false" customHeight="true" outlineLevel="0" collapsed="false">
      <c r="A37" s="14" t="s">
        <v>93</v>
      </c>
      <c r="B37" s="15" t="s">
        <v>94</v>
      </c>
      <c r="C37" s="8" t="s">
        <v>78</v>
      </c>
      <c r="D37" s="8" t="n">
        <v>6</v>
      </c>
      <c r="E37" s="8" t="n">
        <v>6</v>
      </c>
      <c r="F37" s="8" t="n">
        <f aca="false">E37-D37+1</f>
        <v>1</v>
      </c>
      <c r="G37" s="10"/>
      <c r="H37" s="10"/>
      <c r="I37" s="10"/>
      <c r="J37" s="10"/>
      <c r="K37" s="10"/>
      <c r="L37" s="21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customFormat="false" ht="15" hidden="false" customHeight="true" outlineLevel="0" collapsed="false">
      <c r="A38" s="14" t="s">
        <v>95</v>
      </c>
      <c r="B38" s="15" t="s">
        <v>96</v>
      </c>
      <c r="C38" s="8" t="s">
        <v>78</v>
      </c>
      <c r="D38" s="8" t="n">
        <v>6</v>
      </c>
      <c r="E38" s="8" t="n">
        <v>6</v>
      </c>
      <c r="F38" s="8" t="n">
        <f aca="false">E38-D38+1</f>
        <v>1</v>
      </c>
      <c r="G38" s="10"/>
      <c r="H38" s="10"/>
      <c r="I38" s="10"/>
      <c r="J38" s="10"/>
      <c r="K38" s="10"/>
      <c r="L38" s="21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customFormat="false" ht="15" hidden="false" customHeight="true" outlineLevel="0" collapsed="false">
      <c r="A39" s="11" t="s">
        <v>97</v>
      </c>
      <c r="B39" s="12" t="s">
        <v>98</v>
      </c>
      <c r="C39" s="8" t="s">
        <v>78</v>
      </c>
      <c r="D39" s="8" t="n">
        <v>6</v>
      </c>
      <c r="E39" s="8" t="n">
        <v>7</v>
      </c>
      <c r="F39" s="8" t="n">
        <f aca="false">E39-D39+1</f>
        <v>2</v>
      </c>
      <c r="G39" s="10"/>
      <c r="H39" s="10"/>
      <c r="I39" s="10"/>
      <c r="J39" s="10"/>
      <c r="K39" s="10"/>
      <c r="L39" s="20"/>
      <c r="M39" s="2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customFormat="false" ht="15" hidden="false" customHeight="true" outlineLevel="0" collapsed="false">
      <c r="A40" s="14" t="s">
        <v>99</v>
      </c>
      <c r="B40" s="15" t="s">
        <v>100</v>
      </c>
      <c r="C40" s="8" t="s">
        <v>78</v>
      </c>
      <c r="D40" s="8" t="n">
        <v>6</v>
      </c>
      <c r="E40" s="8" t="n">
        <v>6</v>
      </c>
      <c r="F40" s="8" t="n">
        <f aca="false">E40-D40+1</f>
        <v>1</v>
      </c>
      <c r="G40" s="10"/>
      <c r="H40" s="10"/>
      <c r="I40" s="10"/>
      <c r="J40" s="10"/>
      <c r="K40" s="10"/>
      <c r="L40" s="21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customFormat="false" ht="15" hidden="false" customHeight="true" outlineLevel="0" collapsed="false">
      <c r="A41" s="14" t="s">
        <v>101</v>
      </c>
      <c r="B41" s="15" t="s">
        <v>102</v>
      </c>
      <c r="C41" s="8" t="s">
        <v>78</v>
      </c>
      <c r="D41" s="8" t="n">
        <v>7</v>
      </c>
      <c r="E41" s="8" t="n">
        <v>7</v>
      </c>
      <c r="F41" s="8" t="n">
        <f aca="false">E41-D41+1</f>
        <v>1</v>
      </c>
      <c r="G41" s="10"/>
      <c r="H41" s="10"/>
      <c r="I41" s="10"/>
      <c r="J41" s="10"/>
      <c r="K41" s="10"/>
      <c r="L41" s="10"/>
      <c r="M41" s="2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customFormat="false" ht="15" hidden="false" customHeight="true" outlineLevel="0" collapsed="false">
      <c r="A42" s="14" t="s">
        <v>103</v>
      </c>
      <c r="B42" s="15" t="s">
        <v>104</v>
      </c>
      <c r="C42" s="8" t="s">
        <v>78</v>
      </c>
      <c r="D42" s="8" t="n">
        <v>7</v>
      </c>
      <c r="E42" s="8" t="n">
        <v>7</v>
      </c>
      <c r="F42" s="8" t="n">
        <f aca="false">E42-D42+1</f>
        <v>1</v>
      </c>
      <c r="G42" s="10"/>
      <c r="H42" s="10"/>
      <c r="I42" s="10"/>
      <c r="J42" s="10"/>
      <c r="K42" s="10"/>
      <c r="L42" s="10"/>
      <c r="M42" s="2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customFormat="false" ht="15" hidden="false" customHeight="true" outlineLevel="0" collapsed="false">
      <c r="A43" s="11" t="s">
        <v>105</v>
      </c>
      <c r="B43" s="12" t="s">
        <v>106</v>
      </c>
      <c r="C43" s="8" t="s">
        <v>78</v>
      </c>
      <c r="D43" s="8" t="n">
        <v>7</v>
      </c>
      <c r="E43" s="8" t="n">
        <v>7</v>
      </c>
      <c r="F43" s="8" t="n">
        <f aca="false">E43-D43+1</f>
        <v>1</v>
      </c>
      <c r="G43" s="10"/>
      <c r="H43" s="10"/>
      <c r="I43" s="10"/>
      <c r="J43" s="10"/>
      <c r="K43" s="10"/>
      <c r="L43" s="10"/>
      <c r="M43" s="2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customFormat="false" ht="15" hidden="false" customHeight="true" outlineLevel="0" collapsed="false">
      <c r="A44" s="14" t="s">
        <v>107</v>
      </c>
      <c r="B44" s="15" t="s">
        <v>108</v>
      </c>
      <c r="C44" s="8" t="s">
        <v>78</v>
      </c>
      <c r="D44" s="8" t="n">
        <v>7</v>
      </c>
      <c r="E44" s="8" t="n">
        <v>7</v>
      </c>
      <c r="F44" s="8" t="n">
        <f aca="false">E44-D44+1</f>
        <v>1</v>
      </c>
      <c r="G44" s="10"/>
      <c r="H44" s="10"/>
      <c r="I44" s="10"/>
      <c r="J44" s="10"/>
      <c r="K44" s="10"/>
      <c r="L44" s="10"/>
      <c r="M44" s="2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customFormat="false" ht="15" hidden="false" customHeight="true" outlineLevel="0" collapsed="false">
      <c r="A45" s="14" t="s">
        <v>109</v>
      </c>
      <c r="B45" s="15" t="s">
        <v>110</v>
      </c>
      <c r="C45" s="8" t="s">
        <v>78</v>
      </c>
      <c r="D45" s="8" t="n">
        <v>7</v>
      </c>
      <c r="E45" s="8" t="n">
        <v>7</v>
      </c>
      <c r="F45" s="8" t="n">
        <f aca="false">E45-D45+1</f>
        <v>1</v>
      </c>
      <c r="G45" s="10"/>
      <c r="H45" s="10"/>
      <c r="I45" s="10"/>
      <c r="J45" s="10"/>
      <c r="K45" s="10"/>
      <c r="L45" s="10"/>
      <c r="M45" s="2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customFormat="false" ht="15" hidden="false" customHeight="true" outlineLevel="0" collapsed="false">
      <c r="A46" s="14" t="s">
        <v>111</v>
      </c>
      <c r="B46" s="15" t="s">
        <v>112</v>
      </c>
      <c r="C46" s="8" t="s">
        <v>78</v>
      </c>
      <c r="D46" s="8" t="n">
        <v>7</v>
      </c>
      <c r="E46" s="8" t="n">
        <v>7</v>
      </c>
      <c r="F46" s="8" t="n">
        <f aca="false">E46-D46+1</f>
        <v>1</v>
      </c>
      <c r="G46" s="10"/>
      <c r="H46" s="10"/>
      <c r="I46" s="10"/>
      <c r="J46" s="10"/>
      <c r="K46" s="10"/>
      <c r="L46" s="10"/>
      <c r="M46" s="2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customFormat="false" ht="15" hidden="false" customHeight="true" outlineLevel="0" collapsed="false">
      <c r="A47" s="14" t="s">
        <v>113</v>
      </c>
      <c r="B47" s="15" t="s">
        <v>114</v>
      </c>
      <c r="C47" s="8" t="s">
        <v>78</v>
      </c>
      <c r="D47" s="8" t="n">
        <v>7</v>
      </c>
      <c r="E47" s="8" t="n">
        <v>7</v>
      </c>
      <c r="F47" s="8" t="n">
        <f aca="false">E47-D47+1</f>
        <v>1</v>
      </c>
      <c r="G47" s="10"/>
      <c r="H47" s="10"/>
      <c r="I47" s="10"/>
      <c r="J47" s="10"/>
      <c r="K47" s="10"/>
      <c r="L47" s="10"/>
      <c r="M47" s="2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customFormat="false" ht="15" hidden="false" customHeight="true" outlineLevel="0" collapsed="false">
      <c r="A48" s="11" t="s">
        <v>115</v>
      </c>
      <c r="B48" s="12" t="s">
        <v>116</v>
      </c>
      <c r="C48" s="8" t="s">
        <v>78</v>
      </c>
      <c r="D48" s="8" t="n">
        <v>8</v>
      </c>
      <c r="E48" s="8" t="n">
        <v>8</v>
      </c>
      <c r="F48" s="8" t="n">
        <f aca="false">E48-D48+1</f>
        <v>1</v>
      </c>
      <c r="G48" s="10"/>
      <c r="H48" s="10"/>
      <c r="I48" s="10"/>
      <c r="J48" s="10"/>
      <c r="K48" s="10"/>
      <c r="L48" s="10"/>
      <c r="M48" s="10"/>
      <c r="N48" s="17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customFormat="false" ht="15" hidden="false" customHeight="true" outlineLevel="0" collapsed="false">
      <c r="A49" s="6" t="s">
        <v>117</v>
      </c>
      <c r="B49" s="7" t="s">
        <v>118</v>
      </c>
      <c r="C49" s="8" t="s">
        <v>119</v>
      </c>
      <c r="D49" s="8" t="n">
        <v>9</v>
      </c>
      <c r="E49" s="8" t="n">
        <v>12</v>
      </c>
      <c r="F49" s="8" t="n">
        <f aca="false">E49-D49+1</f>
        <v>4</v>
      </c>
      <c r="G49" s="10"/>
      <c r="H49" s="10"/>
      <c r="I49" s="10"/>
      <c r="J49" s="10"/>
      <c r="K49" s="10"/>
      <c r="L49" s="10"/>
      <c r="M49" s="10"/>
      <c r="N49" s="10"/>
      <c r="O49" s="22"/>
      <c r="P49" s="22"/>
      <c r="Q49" s="22"/>
      <c r="R49" s="22"/>
      <c r="S49" s="10"/>
      <c r="T49" s="10"/>
      <c r="U49" s="10"/>
      <c r="V49" s="10"/>
      <c r="W49" s="10"/>
      <c r="X49" s="10"/>
    </row>
    <row r="50" customFormat="false" ht="15" hidden="false" customHeight="true" outlineLevel="0" collapsed="false">
      <c r="A50" s="11" t="s">
        <v>120</v>
      </c>
      <c r="B50" s="12" t="s">
        <v>121</v>
      </c>
      <c r="C50" s="8" t="s">
        <v>119</v>
      </c>
      <c r="D50" s="8" t="n">
        <v>9</v>
      </c>
      <c r="E50" s="8" t="n">
        <v>9</v>
      </c>
      <c r="F50" s="8" t="n">
        <f aca="false">E50-D50+1</f>
        <v>1</v>
      </c>
      <c r="G50" s="10"/>
      <c r="H50" s="10"/>
      <c r="I50" s="10"/>
      <c r="J50" s="10"/>
      <c r="K50" s="10"/>
      <c r="L50" s="10"/>
      <c r="M50" s="10"/>
      <c r="N50" s="10"/>
      <c r="O50" s="23"/>
      <c r="P50" s="10"/>
      <c r="Q50" s="10"/>
      <c r="R50" s="10"/>
      <c r="S50" s="10"/>
      <c r="T50" s="10"/>
      <c r="U50" s="10"/>
      <c r="V50" s="10"/>
      <c r="W50" s="10"/>
      <c r="X50" s="10"/>
    </row>
    <row r="51" customFormat="false" ht="15" hidden="false" customHeight="true" outlineLevel="0" collapsed="false">
      <c r="A51" s="14" t="s">
        <v>122</v>
      </c>
      <c r="B51" s="15" t="s">
        <v>123</v>
      </c>
      <c r="C51" s="8" t="s">
        <v>119</v>
      </c>
      <c r="D51" s="8" t="n">
        <v>9</v>
      </c>
      <c r="E51" s="8" t="n">
        <v>9</v>
      </c>
      <c r="F51" s="8" t="n">
        <f aca="false">E51-D51+1</f>
        <v>1</v>
      </c>
      <c r="G51" s="10"/>
      <c r="H51" s="10"/>
      <c r="I51" s="10"/>
      <c r="J51" s="10"/>
      <c r="K51" s="10"/>
      <c r="L51" s="10"/>
      <c r="M51" s="10"/>
      <c r="N51" s="10"/>
      <c r="O51" s="24"/>
      <c r="P51" s="10"/>
      <c r="Q51" s="10"/>
      <c r="R51" s="10"/>
      <c r="S51" s="10"/>
      <c r="T51" s="10"/>
      <c r="U51" s="10"/>
      <c r="V51" s="10"/>
      <c r="W51" s="10"/>
      <c r="X51" s="10"/>
    </row>
    <row r="52" customFormat="false" ht="15" hidden="false" customHeight="true" outlineLevel="0" collapsed="false">
      <c r="A52" s="14" t="s">
        <v>124</v>
      </c>
      <c r="B52" s="15" t="s">
        <v>125</v>
      </c>
      <c r="C52" s="8" t="s">
        <v>119</v>
      </c>
      <c r="D52" s="8" t="n">
        <v>9</v>
      </c>
      <c r="E52" s="8" t="n">
        <v>9</v>
      </c>
      <c r="F52" s="8" t="n">
        <f aca="false">E52-D52+1</f>
        <v>1</v>
      </c>
      <c r="G52" s="10"/>
      <c r="H52" s="10"/>
      <c r="I52" s="10"/>
      <c r="J52" s="10"/>
      <c r="K52" s="10"/>
      <c r="L52" s="10"/>
      <c r="M52" s="10"/>
      <c r="N52" s="10"/>
      <c r="O52" s="24"/>
      <c r="P52" s="10"/>
      <c r="Q52" s="10"/>
      <c r="R52" s="10"/>
      <c r="S52" s="10"/>
      <c r="T52" s="10"/>
      <c r="U52" s="10"/>
      <c r="V52" s="10"/>
      <c r="W52" s="10"/>
      <c r="X52" s="10"/>
    </row>
    <row r="53" customFormat="false" ht="15" hidden="false" customHeight="true" outlineLevel="0" collapsed="false">
      <c r="A53" s="11" t="s">
        <v>126</v>
      </c>
      <c r="B53" s="12" t="s">
        <v>127</v>
      </c>
      <c r="C53" s="8" t="s">
        <v>119</v>
      </c>
      <c r="D53" s="8" t="n">
        <v>9</v>
      </c>
      <c r="E53" s="8" t="n">
        <v>9</v>
      </c>
      <c r="F53" s="8" t="n">
        <f aca="false">E53-D53+1</f>
        <v>1</v>
      </c>
      <c r="G53" s="10"/>
      <c r="H53" s="10"/>
      <c r="I53" s="10"/>
      <c r="J53" s="10"/>
      <c r="K53" s="10"/>
      <c r="L53" s="10"/>
      <c r="M53" s="10"/>
      <c r="N53" s="10"/>
      <c r="O53" s="23"/>
      <c r="P53" s="10"/>
      <c r="Q53" s="10"/>
      <c r="R53" s="10"/>
      <c r="S53" s="10"/>
      <c r="T53" s="10"/>
      <c r="U53" s="10"/>
      <c r="V53" s="10"/>
      <c r="W53" s="10"/>
      <c r="X53" s="10"/>
    </row>
    <row r="54" customFormat="false" ht="15" hidden="false" customHeight="true" outlineLevel="0" collapsed="false">
      <c r="A54" s="14" t="s">
        <v>128</v>
      </c>
      <c r="B54" s="15" t="s">
        <v>129</v>
      </c>
      <c r="C54" s="8" t="s">
        <v>119</v>
      </c>
      <c r="D54" s="8" t="n">
        <v>9</v>
      </c>
      <c r="E54" s="8" t="n">
        <v>9</v>
      </c>
      <c r="F54" s="8" t="n">
        <f aca="false">E54-D54+1</f>
        <v>1</v>
      </c>
      <c r="G54" s="10"/>
      <c r="H54" s="10"/>
      <c r="I54" s="10"/>
      <c r="J54" s="10"/>
      <c r="K54" s="10"/>
      <c r="L54" s="10"/>
      <c r="M54" s="10"/>
      <c r="N54" s="10"/>
      <c r="O54" s="24"/>
      <c r="P54" s="10"/>
      <c r="Q54" s="10"/>
      <c r="R54" s="10"/>
      <c r="S54" s="10"/>
      <c r="T54" s="10"/>
      <c r="U54" s="10"/>
      <c r="V54" s="10"/>
      <c r="W54" s="10"/>
      <c r="X54" s="10"/>
    </row>
    <row r="55" customFormat="false" ht="15" hidden="false" customHeight="true" outlineLevel="0" collapsed="false">
      <c r="A55" s="11" t="s">
        <v>130</v>
      </c>
      <c r="B55" s="12" t="s">
        <v>131</v>
      </c>
      <c r="C55" s="8" t="s">
        <v>119</v>
      </c>
      <c r="D55" s="8" t="n">
        <v>9</v>
      </c>
      <c r="E55" s="8" t="n">
        <v>10</v>
      </c>
      <c r="F55" s="8" t="n">
        <f aca="false">E55-D55+1</f>
        <v>2</v>
      </c>
      <c r="G55" s="10"/>
      <c r="H55" s="10"/>
      <c r="I55" s="10"/>
      <c r="J55" s="10"/>
      <c r="K55" s="10"/>
      <c r="L55" s="10"/>
      <c r="M55" s="10"/>
      <c r="N55" s="10"/>
      <c r="O55" s="23"/>
      <c r="P55" s="23"/>
      <c r="Q55" s="10"/>
      <c r="R55" s="10"/>
      <c r="S55" s="10"/>
      <c r="T55" s="10"/>
      <c r="U55" s="10"/>
      <c r="V55" s="10"/>
      <c r="W55" s="10"/>
      <c r="X55" s="10"/>
    </row>
    <row r="56" customFormat="false" ht="15" hidden="false" customHeight="true" outlineLevel="0" collapsed="false">
      <c r="A56" s="14" t="s">
        <v>132</v>
      </c>
      <c r="B56" s="15" t="s">
        <v>133</v>
      </c>
      <c r="C56" s="8" t="s">
        <v>119</v>
      </c>
      <c r="D56" s="8" t="n">
        <v>9</v>
      </c>
      <c r="E56" s="8" t="n">
        <v>10</v>
      </c>
      <c r="F56" s="8" t="n">
        <f aca="false">E56-D56+1</f>
        <v>2</v>
      </c>
      <c r="G56" s="10"/>
      <c r="H56" s="10"/>
      <c r="I56" s="10"/>
      <c r="J56" s="10"/>
      <c r="K56" s="10"/>
      <c r="L56" s="10"/>
      <c r="M56" s="10"/>
      <c r="N56" s="10"/>
      <c r="O56" s="24"/>
      <c r="P56" s="24"/>
      <c r="Q56" s="10"/>
      <c r="R56" s="10"/>
      <c r="S56" s="10"/>
      <c r="T56" s="10"/>
      <c r="U56" s="10"/>
      <c r="V56" s="10"/>
      <c r="W56" s="10"/>
      <c r="X56" s="10"/>
    </row>
    <row r="57" customFormat="false" ht="15" hidden="false" customHeight="true" outlineLevel="0" collapsed="false">
      <c r="A57" s="11" t="s">
        <v>134</v>
      </c>
      <c r="B57" s="12" t="s">
        <v>135</v>
      </c>
      <c r="C57" s="8" t="s">
        <v>119</v>
      </c>
      <c r="D57" s="8" t="n">
        <v>10</v>
      </c>
      <c r="E57" s="8" t="n">
        <v>10</v>
      </c>
      <c r="F57" s="8" t="n">
        <f aca="false">E57-D57+1</f>
        <v>1</v>
      </c>
      <c r="G57" s="10"/>
      <c r="H57" s="10"/>
      <c r="I57" s="10"/>
      <c r="J57" s="10"/>
      <c r="K57" s="10"/>
      <c r="L57" s="10"/>
      <c r="M57" s="10"/>
      <c r="N57" s="10"/>
      <c r="O57" s="10"/>
      <c r="P57" s="23"/>
      <c r="Q57" s="10"/>
      <c r="R57" s="10"/>
      <c r="S57" s="10"/>
      <c r="T57" s="10"/>
      <c r="U57" s="10"/>
      <c r="V57" s="10"/>
      <c r="W57" s="10"/>
      <c r="X57" s="10"/>
    </row>
    <row r="58" customFormat="false" ht="15" hidden="false" customHeight="true" outlineLevel="0" collapsed="false">
      <c r="A58" s="14" t="s">
        <v>136</v>
      </c>
      <c r="B58" s="15" t="s">
        <v>137</v>
      </c>
      <c r="C58" s="8" t="s">
        <v>119</v>
      </c>
      <c r="D58" s="8" t="n">
        <v>10</v>
      </c>
      <c r="E58" s="8" t="n">
        <v>10</v>
      </c>
      <c r="F58" s="8" t="n">
        <f aca="false">E58-D58+1</f>
        <v>1</v>
      </c>
      <c r="G58" s="10"/>
      <c r="H58" s="10"/>
      <c r="I58" s="10"/>
      <c r="J58" s="10"/>
      <c r="K58" s="10"/>
      <c r="L58" s="10"/>
      <c r="M58" s="10"/>
      <c r="N58" s="10"/>
      <c r="O58" s="10"/>
      <c r="P58" s="24"/>
      <c r="Q58" s="10"/>
      <c r="R58" s="10"/>
      <c r="S58" s="10"/>
      <c r="T58" s="10"/>
      <c r="U58" s="10"/>
      <c r="V58" s="10"/>
      <c r="W58" s="10"/>
      <c r="X58" s="10"/>
    </row>
    <row r="59" customFormat="false" ht="15" hidden="false" customHeight="true" outlineLevel="0" collapsed="false">
      <c r="A59" s="14" t="s">
        <v>138</v>
      </c>
      <c r="B59" s="15" t="s">
        <v>139</v>
      </c>
      <c r="C59" s="8" t="s">
        <v>119</v>
      </c>
      <c r="D59" s="8" t="n">
        <v>10</v>
      </c>
      <c r="E59" s="8" t="n">
        <v>10</v>
      </c>
      <c r="F59" s="8" t="n">
        <f aca="false">E59-D59+1</f>
        <v>1</v>
      </c>
      <c r="G59" s="10"/>
      <c r="H59" s="10"/>
      <c r="I59" s="10"/>
      <c r="J59" s="10"/>
      <c r="K59" s="10"/>
      <c r="L59" s="10"/>
      <c r="M59" s="10"/>
      <c r="N59" s="10"/>
      <c r="O59" s="10"/>
      <c r="P59" s="24"/>
      <c r="Q59" s="10"/>
      <c r="R59" s="10"/>
      <c r="S59" s="10"/>
      <c r="T59" s="10"/>
      <c r="U59" s="10"/>
      <c r="V59" s="10"/>
      <c r="W59" s="10"/>
      <c r="X59" s="10"/>
    </row>
    <row r="60" customFormat="false" ht="15" hidden="false" customHeight="true" outlineLevel="0" collapsed="false">
      <c r="A60" s="11" t="s">
        <v>140</v>
      </c>
      <c r="B60" s="12" t="s">
        <v>141</v>
      </c>
      <c r="C60" s="8" t="s">
        <v>119</v>
      </c>
      <c r="D60" s="8" t="n">
        <v>10</v>
      </c>
      <c r="E60" s="8" t="n">
        <v>10</v>
      </c>
      <c r="F60" s="8" t="n">
        <f aca="false">E60-D60+1</f>
        <v>1</v>
      </c>
      <c r="G60" s="10"/>
      <c r="H60" s="10"/>
      <c r="I60" s="10"/>
      <c r="J60" s="10"/>
      <c r="K60" s="10"/>
      <c r="L60" s="10"/>
      <c r="M60" s="10"/>
      <c r="N60" s="10"/>
      <c r="O60" s="10"/>
      <c r="P60" s="23"/>
      <c r="Q60" s="10"/>
      <c r="R60" s="10"/>
      <c r="S60" s="10"/>
      <c r="T60" s="10"/>
      <c r="U60" s="10"/>
      <c r="V60" s="10"/>
      <c r="W60" s="10"/>
      <c r="X60" s="10"/>
    </row>
    <row r="61" customFormat="false" ht="15" hidden="false" customHeight="true" outlineLevel="0" collapsed="false">
      <c r="A61" s="14" t="s">
        <v>142</v>
      </c>
      <c r="B61" s="15" t="s">
        <v>143</v>
      </c>
      <c r="C61" s="8" t="s">
        <v>119</v>
      </c>
      <c r="D61" s="8" t="n">
        <v>10</v>
      </c>
      <c r="E61" s="8" t="n">
        <v>10</v>
      </c>
      <c r="F61" s="8" t="n">
        <f aca="false">E61-D61+1</f>
        <v>1</v>
      </c>
      <c r="G61" s="10"/>
      <c r="H61" s="10"/>
      <c r="I61" s="10"/>
      <c r="J61" s="10"/>
      <c r="K61" s="10"/>
      <c r="L61" s="10"/>
      <c r="M61" s="10"/>
      <c r="N61" s="10"/>
      <c r="O61" s="10"/>
      <c r="P61" s="24"/>
      <c r="Q61" s="10"/>
      <c r="R61" s="10"/>
      <c r="S61" s="10"/>
      <c r="T61" s="10"/>
      <c r="U61" s="10"/>
      <c r="V61" s="10"/>
      <c r="W61" s="10"/>
      <c r="X61" s="10"/>
    </row>
    <row r="62" customFormat="false" ht="15" hidden="false" customHeight="true" outlineLevel="0" collapsed="false">
      <c r="A62" s="11" t="s">
        <v>144</v>
      </c>
      <c r="B62" s="12" t="s">
        <v>145</v>
      </c>
      <c r="C62" s="8" t="s">
        <v>119</v>
      </c>
      <c r="D62" s="8" t="n">
        <v>10</v>
      </c>
      <c r="E62" s="8" t="n">
        <v>11</v>
      </c>
      <c r="F62" s="8" t="n">
        <f aca="false">E62-D62+1</f>
        <v>2</v>
      </c>
      <c r="G62" s="10"/>
      <c r="H62" s="10"/>
      <c r="I62" s="10"/>
      <c r="J62" s="10"/>
      <c r="K62" s="10"/>
      <c r="L62" s="10"/>
      <c r="M62" s="10"/>
      <c r="N62" s="10"/>
      <c r="O62" s="10"/>
      <c r="P62" s="23"/>
      <c r="Q62" s="23"/>
      <c r="R62" s="10"/>
      <c r="S62" s="10"/>
      <c r="T62" s="10"/>
      <c r="U62" s="10"/>
      <c r="V62" s="10"/>
      <c r="W62" s="10"/>
      <c r="X62" s="10"/>
    </row>
    <row r="63" customFormat="false" ht="15" hidden="false" customHeight="true" outlineLevel="0" collapsed="false">
      <c r="A63" s="14" t="s">
        <v>146</v>
      </c>
      <c r="B63" s="15" t="s">
        <v>147</v>
      </c>
      <c r="C63" s="8" t="s">
        <v>119</v>
      </c>
      <c r="D63" s="8" t="n">
        <v>10</v>
      </c>
      <c r="E63" s="8" t="n">
        <v>11</v>
      </c>
      <c r="F63" s="8" t="n">
        <f aca="false">E63-D63+1</f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24"/>
      <c r="Q63" s="24"/>
      <c r="R63" s="10"/>
      <c r="S63" s="10"/>
      <c r="T63" s="10"/>
      <c r="U63" s="10"/>
      <c r="V63" s="10"/>
      <c r="W63" s="10"/>
      <c r="X63" s="10"/>
    </row>
    <row r="64" customFormat="false" ht="15" hidden="false" customHeight="true" outlineLevel="0" collapsed="false">
      <c r="A64" s="14" t="s">
        <v>148</v>
      </c>
      <c r="B64" s="15" t="s">
        <v>149</v>
      </c>
      <c r="C64" s="8" t="s">
        <v>119</v>
      </c>
      <c r="D64" s="8" t="n">
        <v>11</v>
      </c>
      <c r="E64" s="8" t="n">
        <v>11</v>
      </c>
      <c r="F64" s="8" t="n">
        <f aca="false">E64-D64+1</f>
        <v>1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24"/>
      <c r="R64" s="10"/>
      <c r="S64" s="10"/>
      <c r="T64" s="10"/>
      <c r="U64" s="10"/>
      <c r="V64" s="10"/>
      <c r="W64" s="10"/>
      <c r="X64" s="10"/>
    </row>
    <row r="65" customFormat="false" ht="15" hidden="false" customHeight="true" outlineLevel="0" collapsed="false">
      <c r="A65" s="14" t="s">
        <v>150</v>
      </c>
      <c r="B65" s="15" t="s">
        <v>151</v>
      </c>
      <c r="C65" s="8" t="s">
        <v>119</v>
      </c>
      <c r="D65" s="8" t="n">
        <v>11</v>
      </c>
      <c r="E65" s="8" t="n">
        <v>11</v>
      </c>
      <c r="F65" s="8" t="n">
        <f aca="false">E65-D65+1</f>
        <v>1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24"/>
      <c r="R65" s="10"/>
      <c r="S65" s="10"/>
      <c r="T65" s="10"/>
      <c r="U65" s="10"/>
      <c r="V65" s="10"/>
      <c r="W65" s="10"/>
      <c r="X65" s="10"/>
    </row>
    <row r="66" customFormat="false" ht="15" hidden="false" customHeight="true" outlineLevel="0" collapsed="false">
      <c r="A66" s="11" t="s">
        <v>152</v>
      </c>
      <c r="B66" s="12" t="s">
        <v>153</v>
      </c>
      <c r="C66" s="8" t="s">
        <v>119</v>
      </c>
      <c r="D66" s="8" t="n">
        <v>11</v>
      </c>
      <c r="E66" s="8" t="n">
        <v>12</v>
      </c>
      <c r="F66" s="8" t="n">
        <f aca="false">E66-D66+1</f>
        <v>2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23"/>
      <c r="R66" s="23"/>
      <c r="S66" s="10"/>
      <c r="T66" s="10"/>
      <c r="U66" s="10"/>
      <c r="V66" s="10"/>
      <c r="W66" s="10"/>
      <c r="X66" s="10"/>
    </row>
    <row r="67" customFormat="false" ht="15" hidden="false" customHeight="true" outlineLevel="0" collapsed="false">
      <c r="A67" s="14" t="s">
        <v>154</v>
      </c>
      <c r="B67" s="15" t="s">
        <v>155</v>
      </c>
      <c r="C67" s="8" t="s">
        <v>119</v>
      </c>
      <c r="D67" s="8" t="n">
        <v>11</v>
      </c>
      <c r="E67" s="8" t="n">
        <v>11</v>
      </c>
      <c r="F67" s="8" t="n">
        <f aca="false">E67-D67+1</f>
        <v>1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24"/>
      <c r="R67" s="10"/>
      <c r="S67" s="10"/>
      <c r="T67" s="10"/>
      <c r="U67" s="10"/>
      <c r="V67" s="10"/>
      <c r="W67" s="10"/>
      <c r="X67" s="10"/>
    </row>
    <row r="68" customFormat="false" ht="15" hidden="false" customHeight="true" outlineLevel="0" collapsed="false">
      <c r="A68" s="14" t="s">
        <v>156</v>
      </c>
      <c r="B68" s="15" t="s">
        <v>157</v>
      </c>
      <c r="C68" s="8" t="s">
        <v>119</v>
      </c>
      <c r="D68" s="8" t="n">
        <v>12</v>
      </c>
      <c r="E68" s="8" t="n">
        <v>12</v>
      </c>
      <c r="F68" s="8" t="n">
        <f aca="false">E68-D68+1</f>
        <v>1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4"/>
      <c r="S68" s="10"/>
      <c r="T68" s="10"/>
      <c r="U68" s="10"/>
      <c r="V68" s="10"/>
      <c r="W68" s="10"/>
      <c r="X68" s="10"/>
    </row>
    <row r="69" customFormat="false" ht="15" hidden="false" customHeight="true" outlineLevel="0" collapsed="false">
      <c r="A69" s="11" t="s">
        <v>158</v>
      </c>
      <c r="B69" s="12" t="s">
        <v>159</v>
      </c>
      <c r="C69" s="8" t="s">
        <v>119</v>
      </c>
      <c r="D69" s="8" t="n">
        <v>12</v>
      </c>
      <c r="E69" s="8" t="n">
        <v>12</v>
      </c>
      <c r="F69" s="8" t="n">
        <f aca="false">E69-D69+1</f>
        <v>1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7"/>
      <c r="S69" s="10"/>
      <c r="T69" s="10"/>
      <c r="U69" s="10"/>
      <c r="V69" s="10"/>
      <c r="W69" s="10"/>
      <c r="X69" s="10"/>
    </row>
    <row r="70" customFormat="false" ht="15" hidden="false" customHeight="true" outlineLevel="0" collapsed="false">
      <c r="A70" s="6" t="s">
        <v>160</v>
      </c>
      <c r="B70" s="7" t="s">
        <v>161</v>
      </c>
      <c r="C70" s="8" t="s">
        <v>162</v>
      </c>
      <c r="D70" s="8" t="n">
        <v>13</v>
      </c>
      <c r="E70" s="8" t="n">
        <v>18</v>
      </c>
      <c r="F70" s="8" t="n">
        <f aca="false">E70-D70+1</f>
        <v>6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25"/>
      <c r="T70" s="25"/>
      <c r="U70" s="25"/>
      <c r="V70" s="25"/>
      <c r="W70" s="25"/>
      <c r="X70" s="25"/>
    </row>
    <row r="71" customFormat="false" ht="15" hidden="false" customHeight="true" outlineLevel="0" collapsed="false">
      <c r="A71" s="11" t="s">
        <v>163</v>
      </c>
      <c r="B71" s="12" t="s">
        <v>164</v>
      </c>
      <c r="C71" s="8" t="s">
        <v>162</v>
      </c>
      <c r="D71" s="8" t="n">
        <v>13</v>
      </c>
      <c r="E71" s="8" t="n">
        <v>14</v>
      </c>
      <c r="F71" s="8" t="n">
        <f aca="false">E71-D71+1</f>
        <v>2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26"/>
      <c r="T71" s="26"/>
      <c r="U71" s="10"/>
      <c r="V71" s="10"/>
      <c r="W71" s="10"/>
      <c r="X71" s="10"/>
    </row>
    <row r="72" customFormat="false" ht="15" hidden="false" customHeight="true" outlineLevel="0" collapsed="false">
      <c r="A72" s="14" t="s">
        <v>165</v>
      </c>
      <c r="B72" s="15" t="s">
        <v>166</v>
      </c>
      <c r="C72" s="8" t="s">
        <v>162</v>
      </c>
      <c r="D72" s="8" t="n">
        <v>13</v>
      </c>
      <c r="E72" s="8" t="n">
        <v>13</v>
      </c>
      <c r="F72" s="8" t="n">
        <f aca="false">E72-D72+1</f>
        <v>1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27"/>
      <c r="T72" s="10"/>
      <c r="U72" s="10"/>
      <c r="V72" s="10"/>
      <c r="W72" s="10"/>
      <c r="X72" s="10"/>
    </row>
    <row r="73" customFormat="false" ht="15" hidden="false" customHeight="true" outlineLevel="0" collapsed="false">
      <c r="A73" s="14" t="s">
        <v>167</v>
      </c>
      <c r="B73" s="15" t="s">
        <v>168</v>
      </c>
      <c r="C73" s="8" t="s">
        <v>162</v>
      </c>
      <c r="D73" s="8" t="n">
        <v>13</v>
      </c>
      <c r="E73" s="8" t="n">
        <v>13</v>
      </c>
      <c r="F73" s="8" t="n">
        <f aca="false">E73-D73+1</f>
        <v>1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27"/>
      <c r="T73" s="10"/>
      <c r="U73" s="10"/>
      <c r="V73" s="10"/>
      <c r="W73" s="10"/>
      <c r="X73" s="10"/>
    </row>
    <row r="74" customFormat="false" ht="15" hidden="false" customHeight="true" outlineLevel="0" collapsed="false">
      <c r="A74" s="14" t="s">
        <v>169</v>
      </c>
      <c r="B74" s="15" t="s">
        <v>170</v>
      </c>
      <c r="C74" s="8" t="s">
        <v>162</v>
      </c>
      <c r="D74" s="8" t="n">
        <v>14</v>
      </c>
      <c r="E74" s="8" t="n">
        <v>14</v>
      </c>
      <c r="F74" s="8" t="n">
        <f aca="false">E74-D74+1</f>
        <v>1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27"/>
      <c r="U74" s="10"/>
      <c r="V74" s="10"/>
      <c r="W74" s="10"/>
      <c r="X74" s="10"/>
    </row>
    <row r="75" customFormat="false" ht="15" hidden="false" customHeight="true" outlineLevel="0" collapsed="false">
      <c r="A75" s="11" t="s">
        <v>171</v>
      </c>
      <c r="B75" s="12" t="s">
        <v>172</v>
      </c>
      <c r="C75" s="8" t="s">
        <v>162</v>
      </c>
      <c r="D75" s="8" t="n">
        <v>14</v>
      </c>
      <c r="E75" s="8" t="n">
        <v>15</v>
      </c>
      <c r="F75" s="8" t="n">
        <f aca="false">E75-D75+1</f>
        <v>2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26"/>
      <c r="U75" s="26"/>
      <c r="V75" s="10"/>
      <c r="W75" s="10"/>
      <c r="X75" s="10"/>
    </row>
    <row r="76" customFormat="false" ht="15" hidden="false" customHeight="true" outlineLevel="0" collapsed="false">
      <c r="A76" s="14" t="s">
        <v>173</v>
      </c>
      <c r="B76" s="15" t="s">
        <v>174</v>
      </c>
      <c r="C76" s="8" t="s">
        <v>162</v>
      </c>
      <c r="D76" s="8" t="n">
        <v>14</v>
      </c>
      <c r="E76" s="8" t="n">
        <v>14</v>
      </c>
      <c r="F76" s="8" t="n">
        <f aca="false">E76-D76+1</f>
        <v>1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27"/>
      <c r="U76" s="10"/>
      <c r="V76" s="10"/>
      <c r="W76" s="10"/>
      <c r="X76" s="10"/>
    </row>
    <row r="77" customFormat="false" ht="15" hidden="false" customHeight="true" outlineLevel="0" collapsed="false">
      <c r="A77" s="14" t="s">
        <v>175</v>
      </c>
      <c r="B77" s="15" t="s">
        <v>176</v>
      </c>
      <c r="C77" s="8" t="s">
        <v>162</v>
      </c>
      <c r="D77" s="8" t="n">
        <v>14</v>
      </c>
      <c r="E77" s="8" t="n">
        <v>14</v>
      </c>
      <c r="F77" s="8" t="n">
        <f aca="false">E77-D77+1</f>
        <v>1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27"/>
      <c r="U77" s="10"/>
      <c r="V77" s="10"/>
      <c r="W77" s="10"/>
      <c r="X77" s="10"/>
    </row>
    <row r="78" customFormat="false" ht="15" hidden="false" customHeight="true" outlineLevel="0" collapsed="false">
      <c r="A78" s="14" t="s">
        <v>177</v>
      </c>
      <c r="B78" s="15" t="s">
        <v>178</v>
      </c>
      <c r="C78" s="8" t="s">
        <v>162</v>
      </c>
      <c r="D78" s="8" t="n">
        <v>14</v>
      </c>
      <c r="E78" s="8" t="n">
        <v>15</v>
      </c>
      <c r="F78" s="8" t="n">
        <f aca="false">E78-D78+1</f>
        <v>2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27"/>
      <c r="U78" s="27"/>
      <c r="V78" s="10"/>
      <c r="W78" s="10"/>
      <c r="X78" s="10"/>
    </row>
    <row r="79" customFormat="false" ht="15" hidden="false" customHeight="true" outlineLevel="0" collapsed="false">
      <c r="A79" s="11" t="s">
        <v>179</v>
      </c>
      <c r="B79" s="12" t="s">
        <v>180</v>
      </c>
      <c r="C79" s="8" t="s">
        <v>162</v>
      </c>
      <c r="D79" s="8" t="n">
        <v>15</v>
      </c>
      <c r="E79" s="8" t="n">
        <v>16</v>
      </c>
      <c r="F79" s="8" t="n">
        <f aca="false">E79-D79+1</f>
        <v>2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26"/>
      <c r="V79" s="26"/>
      <c r="W79" s="10"/>
      <c r="X79" s="10"/>
    </row>
    <row r="80" customFormat="false" ht="15" hidden="false" customHeight="true" outlineLevel="0" collapsed="false">
      <c r="A80" s="14" t="s">
        <v>181</v>
      </c>
      <c r="B80" s="15" t="s">
        <v>182</v>
      </c>
      <c r="C80" s="8" t="s">
        <v>162</v>
      </c>
      <c r="D80" s="8" t="n">
        <v>15</v>
      </c>
      <c r="E80" s="8" t="n">
        <v>15</v>
      </c>
      <c r="F80" s="8" t="n">
        <f aca="false">E80-D80+1</f>
        <v>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27"/>
      <c r="V80" s="10"/>
      <c r="W80" s="10"/>
      <c r="X80" s="10"/>
    </row>
    <row r="81" customFormat="false" ht="15" hidden="false" customHeight="true" outlineLevel="0" collapsed="false">
      <c r="A81" s="14" t="s">
        <v>183</v>
      </c>
      <c r="B81" s="15" t="s">
        <v>184</v>
      </c>
      <c r="C81" s="8" t="s">
        <v>162</v>
      </c>
      <c r="D81" s="8" t="n">
        <v>15</v>
      </c>
      <c r="E81" s="8" t="n">
        <v>15</v>
      </c>
      <c r="F81" s="8" t="n">
        <f aca="false">E81-D81+1</f>
        <v>1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27"/>
      <c r="V81" s="10"/>
      <c r="W81" s="10"/>
      <c r="X81" s="10"/>
    </row>
    <row r="82" customFormat="false" ht="15" hidden="false" customHeight="true" outlineLevel="0" collapsed="false">
      <c r="A82" s="14" t="s">
        <v>185</v>
      </c>
      <c r="B82" s="15" t="s">
        <v>186</v>
      </c>
      <c r="C82" s="8" t="s">
        <v>162</v>
      </c>
      <c r="D82" s="8" t="n">
        <v>15</v>
      </c>
      <c r="E82" s="8" t="n">
        <v>16</v>
      </c>
      <c r="F82" s="8" t="n">
        <f aca="false">E82-D82+1</f>
        <v>2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27"/>
      <c r="V82" s="27"/>
      <c r="W82" s="10"/>
      <c r="X82" s="10"/>
    </row>
    <row r="83" customFormat="false" ht="15" hidden="false" customHeight="true" outlineLevel="0" collapsed="false">
      <c r="A83" s="14" t="s">
        <v>187</v>
      </c>
      <c r="B83" s="15" t="s">
        <v>188</v>
      </c>
      <c r="C83" s="8" t="s">
        <v>162</v>
      </c>
      <c r="D83" s="8" t="n">
        <v>16</v>
      </c>
      <c r="E83" s="8" t="n">
        <v>16</v>
      </c>
      <c r="F83" s="8" t="n">
        <f aca="false">E83-D83+1</f>
        <v>1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27"/>
      <c r="W83" s="10"/>
      <c r="X83" s="10"/>
    </row>
    <row r="84" customFormat="false" ht="15" hidden="false" customHeight="true" outlineLevel="0" collapsed="false">
      <c r="A84" s="11" t="s">
        <v>189</v>
      </c>
      <c r="B84" s="12" t="s">
        <v>190</v>
      </c>
      <c r="C84" s="8" t="s">
        <v>162</v>
      </c>
      <c r="D84" s="8" t="n">
        <v>16</v>
      </c>
      <c r="E84" s="8" t="n">
        <v>17</v>
      </c>
      <c r="F84" s="8" t="n">
        <f aca="false">E84-D84+1</f>
        <v>2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26"/>
      <c r="W84" s="26"/>
      <c r="X84" s="10"/>
    </row>
    <row r="85" customFormat="false" ht="15" hidden="false" customHeight="true" outlineLevel="0" collapsed="false">
      <c r="A85" s="14" t="s">
        <v>191</v>
      </c>
      <c r="B85" s="15" t="s">
        <v>192</v>
      </c>
      <c r="C85" s="8" t="s">
        <v>162</v>
      </c>
      <c r="D85" s="8" t="n">
        <v>16</v>
      </c>
      <c r="E85" s="8" t="n">
        <v>16</v>
      </c>
      <c r="F85" s="8" t="n">
        <f aca="false">E85-D85+1</f>
        <v>1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27"/>
      <c r="W85" s="10"/>
      <c r="X85" s="10"/>
    </row>
    <row r="86" customFormat="false" ht="15" hidden="false" customHeight="true" outlineLevel="0" collapsed="false">
      <c r="A86" s="14" t="s">
        <v>193</v>
      </c>
      <c r="B86" s="15" t="s">
        <v>194</v>
      </c>
      <c r="C86" s="8" t="s">
        <v>162</v>
      </c>
      <c r="D86" s="8" t="n">
        <v>16</v>
      </c>
      <c r="E86" s="8" t="n">
        <v>16</v>
      </c>
      <c r="F86" s="8" t="n">
        <f aca="false">E86-D86+1</f>
        <v>1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27"/>
      <c r="W86" s="10"/>
      <c r="X86" s="10"/>
    </row>
    <row r="87" customFormat="false" ht="15" hidden="false" customHeight="true" outlineLevel="0" collapsed="false">
      <c r="A87" s="14" t="s">
        <v>195</v>
      </c>
      <c r="B87" s="15" t="s">
        <v>196</v>
      </c>
      <c r="C87" s="8" t="s">
        <v>162</v>
      </c>
      <c r="D87" s="8" t="n">
        <v>17</v>
      </c>
      <c r="E87" s="8" t="n">
        <v>17</v>
      </c>
      <c r="F87" s="8" t="n">
        <f aca="false">E87-D87+1</f>
        <v>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27"/>
      <c r="X87" s="10"/>
    </row>
    <row r="88" customFormat="false" ht="15" hidden="false" customHeight="true" outlineLevel="0" collapsed="false">
      <c r="A88" s="11" t="s">
        <v>197</v>
      </c>
      <c r="B88" s="12" t="s">
        <v>198</v>
      </c>
      <c r="C88" s="8" t="s">
        <v>162</v>
      </c>
      <c r="D88" s="8" t="n">
        <v>17</v>
      </c>
      <c r="E88" s="8" t="n">
        <v>17</v>
      </c>
      <c r="F88" s="8" t="n">
        <f aca="false">E88-D88+1</f>
        <v>1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26"/>
      <c r="X88" s="10"/>
    </row>
    <row r="89" customFormat="false" ht="15" hidden="false" customHeight="true" outlineLevel="0" collapsed="false">
      <c r="A89" s="14" t="s">
        <v>199</v>
      </c>
      <c r="B89" s="15" t="s">
        <v>200</v>
      </c>
      <c r="C89" s="8" t="s">
        <v>162</v>
      </c>
      <c r="D89" s="8" t="n">
        <v>17</v>
      </c>
      <c r="E89" s="8" t="n">
        <v>17</v>
      </c>
      <c r="F89" s="8" t="n">
        <f aca="false">E89-D89+1</f>
        <v>1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27"/>
      <c r="X89" s="10"/>
    </row>
    <row r="90" customFormat="false" ht="15" hidden="false" customHeight="true" outlineLevel="0" collapsed="false">
      <c r="A90" s="14" t="s">
        <v>201</v>
      </c>
      <c r="B90" s="15" t="s">
        <v>202</v>
      </c>
      <c r="C90" s="8" t="s">
        <v>162</v>
      </c>
      <c r="D90" s="8" t="n">
        <v>17</v>
      </c>
      <c r="E90" s="8" t="n">
        <v>17</v>
      </c>
      <c r="F90" s="8" t="n">
        <f aca="false">E90-D90+1</f>
        <v>1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27"/>
      <c r="X90" s="10"/>
    </row>
    <row r="91" customFormat="false" ht="15" hidden="false" customHeight="true" outlineLevel="0" collapsed="false">
      <c r="A91" s="14" t="s">
        <v>203</v>
      </c>
      <c r="B91" s="15" t="s">
        <v>204</v>
      </c>
      <c r="C91" s="8" t="s">
        <v>162</v>
      </c>
      <c r="D91" s="8" t="n">
        <v>17</v>
      </c>
      <c r="E91" s="8" t="n">
        <v>17</v>
      </c>
      <c r="F91" s="8" t="n">
        <f aca="false">E91-D91+1</f>
        <v>1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27"/>
      <c r="X91" s="10"/>
    </row>
    <row r="92" customFormat="false" ht="15" hidden="false" customHeight="true" outlineLevel="0" collapsed="false">
      <c r="A92" s="11" t="s">
        <v>205</v>
      </c>
      <c r="B92" s="12" t="s">
        <v>206</v>
      </c>
      <c r="C92" s="8" t="s">
        <v>162</v>
      </c>
      <c r="D92" s="8" t="n">
        <v>18</v>
      </c>
      <c r="E92" s="8" t="n">
        <v>18</v>
      </c>
      <c r="F92" s="8" t="n">
        <f aca="false">E92-D92+1</f>
        <v>1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7"/>
    </row>
    <row r="93" customFormat="false" ht="15" hidden="false" customHeight="true" outlineLevel="0" collapsed="false">
      <c r="A93" s="14" t="s">
        <v>207</v>
      </c>
      <c r="B93" s="15" t="s">
        <v>208</v>
      </c>
      <c r="C93" s="8" t="s">
        <v>162</v>
      </c>
      <c r="D93" s="8" t="n">
        <v>17</v>
      </c>
      <c r="E93" s="8" t="n">
        <v>18</v>
      </c>
      <c r="F93" s="8" t="n">
        <f aca="false">E93-D93+1</f>
        <v>2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27"/>
      <c r="X93" s="27"/>
    </row>
    <row r="94" customFormat="false" ht="15" hidden="false" customHeight="true" outlineLevel="0" collapsed="false">
      <c r="A94" s="11" t="s">
        <v>209</v>
      </c>
      <c r="B94" s="18" t="s">
        <v>210</v>
      </c>
      <c r="C94" s="8" t="s">
        <v>162</v>
      </c>
      <c r="D94" s="8" t="n">
        <v>18</v>
      </c>
      <c r="E94" s="8" t="n">
        <v>18</v>
      </c>
      <c r="F94" s="8" t="n">
        <f aca="false">E94-D94+1</f>
        <v>1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7"/>
    </row>
    <row r="97" customFormat="false" ht="15" hidden="false" customHeight="false" outlineLevel="0" collapsed="false">
      <c r="A97" s="28" t="s">
        <v>211</v>
      </c>
    </row>
    <row r="98" customFormat="false" ht="15" hidden="false" customHeight="false" outlineLevel="0" collapsed="false">
      <c r="A98" s="29"/>
      <c r="B98" s="30" t="s">
        <v>212</v>
      </c>
      <c r="C98" s="3"/>
      <c r="D98" s="3"/>
    </row>
    <row r="99" customFormat="false" ht="15" hidden="false" customHeight="false" outlineLevel="0" collapsed="false">
      <c r="A99" s="31"/>
      <c r="B99" s="30" t="s">
        <v>213</v>
      </c>
      <c r="C99" s="3"/>
      <c r="D99" s="3"/>
    </row>
    <row r="100" customFormat="false" ht="15" hidden="false" customHeight="false" outlineLevel="0" collapsed="false">
      <c r="A100" s="32"/>
      <c r="B100" s="30" t="s">
        <v>214</v>
      </c>
      <c r="C100" s="3"/>
      <c r="D100" s="3"/>
    </row>
    <row r="101" customFormat="false" ht="15" hidden="false" customHeight="false" outlineLevel="0" collapsed="false">
      <c r="A101" s="33"/>
      <c r="B101" s="30" t="s">
        <v>215</v>
      </c>
      <c r="C101" s="3"/>
      <c r="D101" s="3"/>
    </row>
    <row r="102" customFormat="false" ht="15" hidden="false" customHeight="false" outlineLevel="0" collapsed="false">
      <c r="A102" s="34"/>
      <c r="B102" s="30" t="s">
        <v>216</v>
      </c>
      <c r="C102" s="3"/>
      <c r="D102" s="3"/>
    </row>
    <row r="104" customFormat="false" ht="21.75" hidden="false" customHeight="true" outlineLevel="0" collapsed="false">
      <c r="A104" s="35" t="s">
        <v>217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</row>
  </sheetData>
  <mergeCells count="2">
    <mergeCell ref="A1:X1"/>
    <mergeCell ref="A104:L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2026-09-03T23:22:47Z</dcterms:created>
  <dc:creator>openpyxl</dc:creator>
  <dc:description/>
  <dc:language>en-US</dc:language>
  <cp:lastModifiedBy/>
  <dcterms:modified xsi:type="dcterms:W3CDTF">2026-09-03T22:20:22Z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